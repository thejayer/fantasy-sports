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 Sport" sheetId="3" state="visible" r:id="rId3"/>
    <sheet xmlns:r="http://schemas.openxmlformats.org/officeDocument/2006/relationships" name="By Prime Time" sheetId="4" state="visible" r:id="rId4"/>
    <sheet xmlns:r="http://schemas.openxmlformats.org/officeDocument/2006/relationships" name="By Day of Week" sheetId="5" state="visible" r:id="rId5"/>
    <sheet xmlns:r="http://schemas.openxmlformats.org/officeDocument/2006/relationships" name="By Bet Type" sheetId="6" state="visible" r:id="rId6"/>
    <sheet xmlns:r="http://schemas.openxmlformats.org/officeDocument/2006/relationships" name="Legend &amp; Notes" sheetId="7" state="visible" r:id="rId7"/>
  </sheets>
  <definedNames>
    <definedName name="_xlnm._FilterDatabase" localSheetId="0" hidden="1">'Bets'!$A$1:$AD$506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 h:mm:ss"/>
    <numFmt numFmtId="165" formatCode="yyyy-mm-dd"/>
    <numFmt numFmtId="166" formatCode="yyyy-mm-dd h:mm AM/PM"/>
    <numFmt numFmtId="167" formatCode="$#,##0.00;[Red]-$#,##0.00"/>
    <numFmt numFmtId="168" formatCode="0.000"/>
    <numFmt numFmtId="169" formatCode="0.0%"/>
    <numFmt numFmtId="170" formatCode="$#,##0"/>
    <numFmt numFmtId="171" formatCode="$#,##0;[Red]-$#,##0"/>
    <numFmt numFmtId="172" formatCode="0.0%;[Red]-0.0%"/>
    <numFmt numFmtId="173" formatCode="0.0"/>
    <numFmt numFmtId="174" formatCode="0.00;[Red]-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wrapText="1"/>
    </xf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7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CE4D6"/>
        </patternFill>
      </fill>
    </dxf>
    <dxf>
      <font>
        <color rgb="00006100"/>
      </font>
    </dxf>
    <dxf>
      <font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.com/BookitWithTrent/status/2083606714033578065" TargetMode="External" Id="rId1"/><Relationship Type="http://schemas.openxmlformats.org/officeDocument/2006/relationships/hyperlink" Target="https://x.com/BookitWithTrent/status/2083963819387134103" TargetMode="External" Id="rId2"/><Relationship Type="http://schemas.openxmlformats.org/officeDocument/2006/relationships/hyperlink" Target="https://x.com/BookitWithTrent/status/2084358270215418015" TargetMode="External" Id="rId3"/><Relationship Type="http://schemas.openxmlformats.org/officeDocument/2006/relationships/hyperlink" Target="https://x.com/BookitWithTrent/status/2084487077245128707" TargetMode="External" Id="rId4"/><Relationship Type="http://schemas.openxmlformats.org/officeDocument/2006/relationships/hyperlink" Target="https://x.com/BookitWithTrent/status/2084665349379653770" TargetMode="External" Id="rId5"/><Relationship Type="http://schemas.openxmlformats.org/officeDocument/2006/relationships/hyperlink" Target="https://x.com/BookitWithTrent/status/2084676777360732627" TargetMode="External" Id="rId6"/><Relationship Type="http://schemas.openxmlformats.org/officeDocument/2006/relationships/hyperlink" Target="https://x.com/BookitWithTrent/status/2084698796060020893" TargetMode="External" Id="rId7"/><Relationship Type="http://schemas.openxmlformats.org/officeDocument/2006/relationships/hyperlink" Target="https://x.com/BookitWithTrent/status/2084717205220991261" TargetMode="External" Id="rId8"/><Relationship Type="http://schemas.openxmlformats.org/officeDocument/2006/relationships/hyperlink" Target="https://x.com/BookitWithTrent/status/2085021011854959071" TargetMode="External" Id="rId9"/><Relationship Type="http://schemas.openxmlformats.org/officeDocument/2006/relationships/hyperlink" Target="https://x.com/BookitWithTrent/status/2085038898317509092" TargetMode="External" Id="rId10"/><Relationship Type="http://schemas.openxmlformats.org/officeDocument/2006/relationships/hyperlink" Target="https://x.com/BookitWithTrent/status/2085046247665070221" TargetMode="External" Id="rId11"/><Relationship Type="http://schemas.openxmlformats.org/officeDocument/2006/relationships/hyperlink" Target="https://x.com/BookitWithTrent/status/2085103959832678835" TargetMode="External" Id="rId12"/><Relationship Type="http://schemas.openxmlformats.org/officeDocument/2006/relationships/hyperlink" Target="https://x.com/BookitWithTrent/status/2085118211373006899" TargetMode="External" Id="rId13"/><Relationship Type="http://schemas.openxmlformats.org/officeDocument/2006/relationships/hyperlink" Target="https://x.com/BookitWithTrent/status/2085403129818890696" TargetMode="External" Id="rId14"/><Relationship Type="http://schemas.openxmlformats.org/officeDocument/2006/relationships/hyperlink" Target="https://x.com/BookitWithTrent/status/2085407541819785238" TargetMode="External" Id="rId15"/><Relationship Type="http://schemas.openxmlformats.org/officeDocument/2006/relationships/hyperlink" Target="https://x.com/BookitWithTrent/status/2085475090179801235" TargetMode="External" Id="rId16"/><Relationship Type="http://schemas.openxmlformats.org/officeDocument/2006/relationships/hyperlink" Target="https://x.com/BookitWithTrent/status/2085834923991011621" TargetMode="External" Id="rId17"/><Relationship Type="http://schemas.openxmlformats.org/officeDocument/2006/relationships/hyperlink" Target="https://x.com/BookitWithTrent/status/2086110001551053239" TargetMode="External" Id="rId18"/><Relationship Type="http://schemas.openxmlformats.org/officeDocument/2006/relationships/hyperlink" Target="https://x.com/BookitWithTrent/status/2086116921108205609" TargetMode="External" Id="rId19"/><Relationship Type="http://schemas.openxmlformats.org/officeDocument/2006/relationships/hyperlink" Target="https://x.com/BookitWithTrent/status/2086128660709265862" TargetMode="External" Id="rId20"/><Relationship Type="http://schemas.openxmlformats.org/officeDocument/2006/relationships/hyperlink" Target="https://x.com/BookitWithTrent/status/2086475207892455925" TargetMode="External" Id="rId21"/><Relationship Type="http://schemas.openxmlformats.org/officeDocument/2006/relationships/hyperlink" Target="https://x.com/BookitWithTrent/status/2086564147198648430" TargetMode="External" Id="rId22"/><Relationship Type="http://schemas.openxmlformats.org/officeDocument/2006/relationships/hyperlink" Target="https://x.com/BookitWithTrent/status/2086882285014372455" TargetMode="External" Id="rId23"/><Relationship Type="http://schemas.openxmlformats.org/officeDocument/2006/relationships/hyperlink" Target="https://x.com/BookitWithTrent/status/2087252861994373509" TargetMode="External" Id="rId24"/><Relationship Type="http://schemas.openxmlformats.org/officeDocument/2006/relationships/hyperlink" Target="https://x.com/BookitWithTrent/status/2087255371677102203" TargetMode="External" Id="rId25"/><Relationship Type="http://schemas.openxmlformats.org/officeDocument/2006/relationships/hyperlink" Target="https://x.com/BookitWithTrent/status/2087260715086155794" TargetMode="External" Id="rId26"/><Relationship Type="http://schemas.openxmlformats.org/officeDocument/2006/relationships/hyperlink" Target="https://x.com/BookitWithTrent/status/2087260715086155794" TargetMode="External" Id="rId27"/><Relationship Type="http://schemas.openxmlformats.org/officeDocument/2006/relationships/hyperlink" Target="https://x.com/BookitWithTrent/status/2087260715086155794" TargetMode="External" Id="rId28"/><Relationship Type="http://schemas.openxmlformats.org/officeDocument/2006/relationships/hyperlink" Target="https://x.com/BookitWithTrent/status/2087260715086155794" TargetMode="External" Id="rId29"/><Relationship Type="http://schemas.openxmlformats.org/officeDocument/2006/relationships/hyperlink" Target="https://x.com/BookitWithTrent/status/2087260715086155794" TargetMode="External" Id="rId30"/><Relationship Type="http://schemas.openxmlformats.org/officeDocument/2006/relationships/hyperlink" Target="https://x.com/BookitWithTrent/status/2087260715086155794" TargetMode="External" Id="rId31"/><Relationship Type="http://schemas.openxmlformats.org/officeDocument/2006/relationships/hyperlink" Target="https://x.com/BookitWithTrent/status/2087260715086155794" TargetMode="External" Id="rId32"/><Relationship Type="http://schemas.openxmlformats.org/officeDocument/2006/relationships/hyperlink" Target="https://x.com/BookitWithTrent/status/2087260715086155794" TargetMode="External" Id="rId33"/><Relationship Type="http://schemas.openxmlformats.org/officeDocument/2006/relationships/hyperlink" Target="https://x.com/BookitWithTrent/status/2087581889888412111" TargetMode="External" Id="rId34"/><Relationship Type="http://schemas.openxmlformats.org/officeDocument/2006/relationships/hyperlink" Target="https://x.com/BookitWithTrent/status/2087581889888412111" TargetMode="External" Id="rId35"/><Relationship Type="http://schemas.openxmlformats.org/officeDocument/2006/relationships/hyperlink" Target="https://x.com/BookitWithTrent/status/2087581889888412111" TargetMode="External" Id="rId36"/><Relationship Type="http://schemas.openxmlformats.org/officeDocument/2006/relationships/hyperlink" Target="https://x.com/BookitWithTrent/status/2087581889888412111" TargetMode="External" Id="rId37"/><Relationship Type="http://schemas.openxmlformats.org/officeDocument/2006/relationships/hyperlink" Target="https://x.com/BookitWithTrent/status/2087709718890283140" TargetMode="External" Id="rId38"/><Relationship Type="http://schemas.openxmlformats.org/officeDocument/2006/relationships/hyperlink" Target="https://x.com/BookitWithTrent/status/2087944039148523783" TargetMode="External" Id="rId39"/><Relationship Type="http://schemas.openxmlformats.org/officeDocument/2006/relationships/hyperlink" Target="https://x.com/BookitWithTrent/status/2087944039148523783" TargetMode="External" Id="rId40"/><Relationship Type="http://schemas.openxmlformats.org/officeDocument/2006/relationships/hyperlink" Target="https://x.com/BookitWithTrent/status/2087944039148523783" TargetMode="External" Id="rId41"/><Relationship Type="http://schemas.openxmlformats.org/officeDocument/2006/relationships/hyperlink" Target="https://x.com/BookitWithTrent/status/2087944039148523783" TargetMode="External" Id="rId42"/><Relationship Type="http://schemas.openxmlformats.org/officeDocument/2006/relationships/hyperlink" Target="https://x.com/BookitWithTrent/status/2087944039148523783" TargetMode="External" Id="rId43"/><Relationship Type="http://schemas.openxmlformats.org/officeDocument/2006/relationships/hyperlink" Target="https://x.com/BookitWithTrent/status/2087990640336400677" TargetMode="External" Id="rId44"/><Relationship Type="http://schemas.openxmlformats.org/officeDocument/2006/relationships/hyperlink" Target="https://x.com/BookitWithTrent/status/2088295075381993518" TargetMode="External" Id="rId45"/><Relationship Type="http://schemas.openxmlformats.org/officeDocument/2006/relationships/hyperlink" Target="https://x.com/BookitWithTrent/status/2088321270584664446" TargetMode="External" Id="rId46"/><Relationship Type="http://schemas.openxmlformats.org/officeDocument/2006/relationships/hyperlink" Target="https://x.com/BookitWithTrent/status/2088378739704938901" TargetMode="External" Id="rId47"/><Relationship Type="http://schemas.openxmlformats.org/officeDocument/2006/relationships/hyperlink" Target="https://x.com/BookitWithTrent/status/2088394406810230793" TargetMode="External" Id="rId48"/><Relationship Type="http://schemas.openxmlformats.org/officeDocument/2006/relationships/hyperlink" Target="https://x.com/stevewilldoit/status/2088662105335415231" TargetMode="External" Id="rId49"/><Relationship Type="http://schemas.openxmlformats.org/officeDocument/2006/relationships/hyperlink" Target="https://x.com/stevewilldoit/status/2088662105335415231" TargetMode="External" Id="rId50"/><Relationship Type="http://schemas.openxmlformats.org/officeDocument/2006/relationships/hyperlink" Target="https://x.com/stevewilldoit/status/2088662105335415231" TargetMode="External" Id="rId51"/><Relationship Type="http://schemas.openxmlformats.org/officeDocument/2006/relationships/hyperlink" Target="https://x.com/BookitWithTrent/status/2088668527347556839" TargetMode="External" Id="rId52"/><Relationship Type="http://schemas.openxmlformats.org/officeDocument/2006/relationships/hyperlink" Target="https://x.com/BookitWithTrent/status/2088758496737087760" TargetMode="External" Id="rId53"/><Relationship Type="http://schemas.openxmlformats.org/officeDocument/2006/relationships/hyperlink" Target="https://x.com/BookitWithTrent/status/2089009183928484115" TargetMode="External" Id="rId54"/><Relationship Type="http://schemas.openxmlformats.org/officeDocument/2006/relationships/hyperlink" Target="https://x.com/BookitWithTrent/status/2089095668891603249" TargetMode="External" Id="rId55"/><Relationship Type="http://schemas.openxmlformats.org/officeDocument/2006/relationships/hyperlink" Target="https://x.com/BookitWithTrent/status/2089412398109151255" TargetMode="External" Id="rId56"/><Relationship Type="http://schemas.openxmlformats.org/officeDocument/2006/relationships/hyperlink" Target="https://x.com/BookitWithTrent/status/2089436176901869741" TargetMode="External" Id="rId57"/><Relationship Type="http://schemas.openxmlformats.org/officeDocument/2006/relationships/hyperlink" Target="https://x.com/BookitWithTrent/status/2089439184402411548" TargetMode="External" Id="rId58"/><Relationship Type="http://schemas.openxmlformats.org/officeDocument/2006/relationships/hyperlink" Target="https://x.com/BookitWithTrent/status/2089785110908334174" TargetMode="External" Id="rId59"/><Relationship Type="http://schemas.openxmlformats.org/officeDocument/2006/relationships/hyperlink" Target="https://x.com/BookitWithTrent/status/2089801846348976207" TargetMode="External" Id="rId60"/><Relationship Type="http://schemas.openxmlformats.org/officeDocument/2006/relationships/hyperlink" Target="https://x.com/stevewilldoit/status/2089817642919924096" TargetMode="External" Id="rId61"/><Relationship Type="http://schemas.openxmlformats.org/officeDocument/2006/relationships/hyperlink" Target="https://x.com/stevewilldoit/status/2089817642919924096" TargetMode="External" Id="rId62"/><Relationship Type="http://schemas.openxmlformats.org/officeDocument/2006/relationships/hyperlink" Target="https://x.com/BookitWithTrent/status/2089835155850510431" TargetMode="External" Id="rId63"/><Relationship Type="http://schemas.openxmlformats.org/officeDocument/2006/relationships/hyperlink" Target="https://x.com/stevewilldoit/status/2089860709618221262" TargetMode="External" Id="rId64"/><Relationship Type="http://schemas.openxmlformats.org/officeDocument/2006/relationships/hyperlink" Target="https://x.com/BookitWithTrent/status/2090099455072588040" TargetMode="External" Id="rId65"/><Relationship Type="http://schemas.openxmlformats.org/officeDocument/2006/relationships/hyperlink" Target="https://x.com/BookitWithTrent/status/2090099455072588040" TargetMode="External" Id="rId66"/><Relationship Type="http://schemas.openxmlformats.org/officeDocument/2006/relationships/hyperlink" Target="https://x.com/BookitWithTrent/status/2090099455072588040" TargetMode="External" Id="rId67"/><Relationship Type="http://schemas.openxmlformats.org/officeDocument/2006/relationships/hyperlink" Target="https://x.com/BookitWithTrent/status/2090099455072588040" TargetMode="External" Id="rId68"/><Relationship Type="http://schemas.openxmlformats.org/officeDocument/2006/relationships/hyperlink" Target="https://x.com/stevewilldoit/status/2090122504991810023" TargetMode="External" Id="rId69"/><Relationship Type="http://schemas.openxmlformats.org/officeDocument/2006/relationships/hyperlink" Target="https://x.com/BookitWithTrent/status/2090166817260011970" TargetMode="External" Id="rId70"/><Relationship Type="http://schemas.openxmlformats.org/officeDocument/2006/relationships/hyperlink" Target="https://x.com/BookitWithTrent/status/2090170737537532165" TargetMode="External" Id="rId71"/><Relationship Type="http://schemas.openxmlformats.org/officeDocument/2006/relationships/hyperlink" Target="https://x.com/stevewilldoit/status/2090191206797963765" TargetMode="External" Id="rId72"/><Relationship Type="http://schemas.openxmlformats.org/officeDocument/2006/relationships/hyperlink" Target="https://x.com/stevewilldoit/status/2090201501503308082" TargetMode="External" Id="rId73"/><Relationship Type="http://schemas.openxmlformats.org/officeDocument/2006/relationships/hyperlink" Target="https://x.com/stevewilldoit/status/2090227712589738112" TargetMode="External" Id="rId74"/><Relationship Type="http://schemas.openxmlformats.org/officeDocument/2006/relationships/hyperlink" Target="https://x.com/stevewilldoit/status/2090259861053276650" TargetMode="External" Id="rId75"/><Relationship Type="http://schemas.openxmlformats.org/officeDocument/2006/relationships/hyperlink" Target="https://x.com/BookitWithTrent/status/2090469355205054664" TargetMode="External" Id="rId76"/><Relationship Type="http://schemas.openxmlformats.org/officeDocument/2006/relationships/hyperlink" Target="https://x.com/BookitWithTrent/status/2090469355205054664" TargetMode="External" Id="rId77"/><Relationship Type="http://schemas.openxmlformats.org/officeDocument/2006/relationships/hyperlink" Target="https://x.com/BookitWithTrent/status/2090469355205054664" TargetMode="External" Id="rId78"/><Relationship Type="http://schemas.openxmlformats.org/officeDocument/2006/relationships/hyperlink" Target="https://x.com/BookitWithTrent/status/2090469355205054664" TargetMode="External" Id="rId79"/><Relationship Type="http://schemas.openxmlformats.org/officeDocument/2006/relationships/hyperlink" Target="https://x.com/BookitWithTrent/status/2090469355205054664" TargetMode="External" Id="rId80"/><Relationship Type="http://schemas.openxmlformats.org/officeDocument/2006/relationships/hyperlink" Target="https://x.com/BookitWithTrent/status/2090469355205054664" TargetMode="External" Id="rId81"/><Relationship Type="http://schemas.openxmlformats.org/officeDocument/2006/relationships/hyperlink" Target="https://x.com/stevewilldoit/status/2090477913246208025" TargetMode="External" Id="rId82"/><Relationship Type="http://schemas.openxmlformats.org/officeDocument/2006/relationships/hyperlink" Target="https://x.com/BookitWithTrent/status/2090550544712548389" TargetMode="External" Id="rId83"/><Relationship Type="http://schemas.openxmlformats.org/officeDocument/2006/relationships/hyperlink" Target="https://x.com/BookitWithTrent/status/2090559247276720304" TargetMode="External" Id="rId84"/><Relationship Type="http://schemas.openxmlformats.org/officeDocument/2006/relationships/hyperlink" Target="https://x.com/BookitWithTrent/status/2090838851942027525" TargetMode="External" Id="rId85"/><Relationship Type="http://schemas.openxmlformats.org/officeDocument/2006/relationships/hyperlink" Target="https://x.com/BookitWithTrent/status/2090840165639999585" TargetMode="External" Id="rId86"/><Relationship Type="http://schemas.openxmlformats.org/officeDocument/2006/relationships/hyperlink" Target="https://x.com/stevewilldoit/status/2090872777527992483" TargetMode="External" Id="rId87"/><Relationship Type="http://schemas.openxmlformats.org/officeDocument/2006/relationships/hyperlink" Target="https://x.com/BookitWithTrent/status/2090893042278408413" TargetMode="External" Id="rId88"/><Relationship Type="http://schemas.openxmlformats.org/officeDocument/2006/relationships/hyperlink" Target="https://x.com/stevewilldoit/status/2090925724894974013" TargetMode="External" Id="rId89"/><Relationship Type="http://schemas.openxmlformats.org/officeDocument/2006/relationships/hyperlink" Target="https://x.com/stevewilldoit/status/2090946509487439939" TargetMode="External" Id="rId90"/><Relationship Type="http://schemas.openxmlformats.org/officeDocument/2006/relationships/hyperlink" Target="https://x.com/stevewilldoit/status/2090946509487439939" TargetMode="External" Id="rId91"/><Relationship Type="http://schemas.openxmlformats.org/officeDocument/2006/relationships/hyperlink" Target="https://x.com/stevewilldoit/status/2091177630611521914" TargetMode="External" Id="rId92"/><Relationship Type="http://schemas.openxmlformats.org/officeDocument/2006/relationships/hyperlink" Target="https://x.com/stevewilldoit/status/2091177630611521914" TargetMode="External" Id="rId93"/><Relationship Type="http://schemas.openxmlformats.org/officeDocument/2006/relationships/hyperlink" Target="https://x.com/stevewilldoit/status/2091204105893011750" TargetMode="External" Id="rId94"/><Relationship Type="http://schemas.openxmlformats.org/officeDocument/2006/relationships/hyperlink" Target="https://x.com/stevewilldoit/status/2091204105893011750" TargetMode="External" Id="rId95"/><Relationship Type="http://schemas.openxmlformats.org/officeDocument/2006/relationships/hyperlink" Target="https://x.com/BookitWithTrent/status/2091261360894067106" TargetMode="External" Id="rId96"/><Relationship Type="http://schemas.openxmlformats.org/officeDocument/2006/relationships/hyperlink" Target="https://x.com/BookitWithTrent/status/2091262999625417202" TargetMode="External" Id="rId97"/><Relationship Type="http://schemas.openxmlformats.org/officeDocument/2006/relationships/hyperlink" Target="https://x.com/BookitWithTrent/status/2091273929348227453" TargetMode="External" Id="rId98"/><Relationship Type="http://schemas.openxmlformats.org/officeDocument/2006/relationships/hyperlink" Target="https://x.com/BookitWithTrent/status/2091582265528557787" TargetMode="External" Id="rId99"/><Relationship Type="http://schemas.openxmlformats.org/officeDocument/2006/relationships/hyperlink" Target="https://x.com/BookitWithTrent/status/2091657049989845258" TargetMode="External" Id="rId100"/><Relationship Type="http://schemas.openxmlformats.org/officeDocument/2006/relationships/hyperlink" Target="https://x.com/stevewilldoit/status/2091917936248156622" TargetMode="External" Id="rId101"/><Relationship Type="http://schemas.openxmlformats.org/officeDocument/2006/relationships/hyperlink" Target="https://x.com/stevewilldoit/status/2091955531330015706" TargetMode="External" Id="rId102"/><Relationship Type="http://schemas.openxmlformats.org/officeDocument/2006/relationships/hyperlink" Target="https://x.com/stevewilldoit/status/2092001638365974691" TargetMode="External" Id="rId103"/><Relationship Type="http://schemas.openxmlformats.org/officeDocument/2006/relationships/hyperlink" Target="https://x.com/stevewilldoit/status/2092348168578982268" TargetMode="External" Id="rId104"/><Relationship Type="http://schemas.openxmlformats.org/officeDocument/2006/relationships/hyperlink" Target="https://x.com/BookitWithTrent/status/2092362134415917346" TargetMode="External" Id="rId105"/><Relationship Type="http://schemas.openxmlformats.org/officeDocument/2006/relationships/hyperlink" Target="https://x.com/stevewilldoit/status/2092415708911087679" TargetMode="External" Id="rId106"/><Relationship Type="http://schemas.openxmlformats.org/officeDocument/2006/relationships/hyperlink" Target="https://x.com/stevewilldoit/status/2092646910565699814" TargetMode="External" Id="rId107"/><Relationship Type="http://schemas.openxmlformats.org/officeDocument/2006/relationships/hyperlink" Target="https://x.com/stevewilldoit/status/2092646910565699814" TargetMode="External" Id="rId108"/><Relationship Type="http://schemas.openxmlformats.org/officeDocument/2006/relationships/hyperlink" Target="https://x.com/stevewilldoit/status/2092646910565699814" TargetMode="External" Id="rId109"/><Relationship Type="http://schemas.openxmlformats.org/officeDocument/2006/relationships/hyperlink" Target="https://x.com/BookitWithTrent/status/2092648088720535818" TargetMode="External" Id="rId110"/><Relationship Type="http://schemas.openxmlformats.org/officeDocument/2006/relationships/hyperlink" Target="https://x.com/stevewilldoit/status/2092673600830509268" TargetMode="External" Id="rId111"/><Relationship Type="http://schemas.openxmlformats.org/officeDocument/2006/relationships/hyperlink" Target="https://x.com/BookitWithTrent/status/2092699428293398580" TargetMode="External" Id="rId112"/><Relationship Type="http://schemas.openxmlformats.org/officeDocument/2006/relationships/hyperlink" Target="https://x.com/BookitWithTrent/status/2092713090252943438" TargetMode="External" Id="rId113"/><Relationship Type="http://schemas.openxmlformats.org/officeDocument/2006/relationships/hyperlink" Target="https://x.com/BookitWithTrent/status/2092735453845729515" TargetMode="External" Id="rId114"/><Relationship Type="http://schemas.openxmlformats.org/officeDocument/2006/relationships/hyperlink" Target="https://x.com/stevewilldoit/status/2092782798004228228" TargetMode="External" Id="rId115"/><Relationship Type="http://schemas.openxmlformats.org/officeDocument/2006/relationships/hyperlink" Target="https://x.com/stevewilldoit/status/2092790908718649463" TargetMode="External" Id="rId116"/><Relationship Type="http://schemas.openxmlformats.org/officeDocument/2006/relationships/hyperlink" Target="https://x.com/stevewilldoit/status/2093017595955855422" TargetMode="External" Id="rId117"/><Relationship Type="http://schemas.openxmlformats.org/officeDocument/2006/relationships/hyperlink" Target="https://x.com/BookitWithTrent/status/2093064085671735303" TargetMode="External" Id="rId118"/><Relationship Type="http://schemas.openxmlformats.org/officeDocument/2006/relationships/hyperlink" Target="https://x.com/BookitWithTrent/status/2093064085671735303" TargetMode="External" Id="rId119"/><Relationship Type="http://schemas.openxmlformats.org/officeDocument/2006/relationships/hyperlink" Target="https://x.com/BookitWithTrent/status/2093064085671735303" TargetMode="External" Id="rId120"/><Relationship Type="http://schemas.openxmlformats.org/officeDocument/2006/relationships/hyperlink" Target="https://x.com/BookitWithTrent/status/2093064085671735303" TargetMode="External" Id="rId121"/><Relationship Type="http://schemas.openxmlformats.org/officeDocument/2006/relationships/hyperlink" Target="https://x.com/BookitWithTrent/status/2093064969931624598" TargetMode="External" Id="rId122"/><Relationship Type="http://schemas.openxmlformats.org/officeDocument/2006/relationships/hyperlink" Target="https://x.com/stevewilldoit/status/2093065715351744845" TargetMode="External" Id="rId123"/><Relationship Type="http://schemas.openxmlformats.org/officeDocument/2006/relationships/hyperlink" Target="https://x.com/BookitWithTrent/status/2093083232908521653" TargetMode="External" Id="rId124"/><Relationship Type="http://schemas.openxmlformats.org/officeDocument/2006/relationships/hyperlink" Target="https://x.com/BookitWithTrent/status/2093083232908521653" TargetMode="External" Id="rId125"/><Relationship Type="http://schemas.openxmlformats.org/officeDocument/2006/relationships/hyperlink" Target="https://x.com/BookitWithTrent/status/2093083232908521653" TargetMode="External" Id="rId126"/><Relationship Type="http://schemas.openxmlformats.org/officeDocument/2006/relationships/hyperlink" Target="https://x.com/stevewilldoit/status/2093153387004998033" TargetMode="External" Id="rId127"/><Relationship Type="http://schemas.openxmlformats.org/officeDocument/2006/relationships/hyperlink" Target="https://x.com/stevewilldoit/status/2093153387004998033" TargetMode="External" Id="rId128"/><Relationship Type="http://schemas.openxmlformats.org/officeDocument/2006/relationships/hyperlink" Target="https://x.com/stevewilldoit/status/2093401676191318407" TargetMode="External" Id="rId129"/><Relationship Type="http://schemas.openxmlformats.org/officeDocument/2006/relationships/hyperlink" Target="https://x.com/stevewilldoit/status/2093401676191318407" TargetMode="External" Id="rId130"/><Relationship Type="http://schemas.openxmlformats.org/officeDocument/2006/relationships/hyperlink" Target="https://x.com/BookitWithTrent/status/2093435490322076123" TargetMode="External" Id="rId131"/><Relationship Type="http://schemas.openxmlformats.org/officeDocument/2006/relationships/hyperlink" Target="https://x.com/BookitWithTrent/status/2093437075148226837" TargetMode="External" Id="rId132"/><Relationship Type="http://schemas.openxmlformats.org/officeDocument/2006/relationships/hyperlink" Target="https://x.com/BookitWithTrent/status/2093437614137254005" TargetMode="External" Id="rId133"/><Relationship Type="http://schemas.openxmlformats.org/officeDocument/2006/relationships/hyperlink" Target="https://x.com/BookitWithTrent/status/2093437614137254005" TargetMode="External" Id="rId134"/><Relationship Type="http://schemas.openxmlformats.org/officeDocument/2006/relationships/hyperlink" Target="https://x.com/BookitWithTrent/status/2093437614137254005" TargetMode="External" Id="rId135"/><Relationship Type="http://schemas.openxmlformats.org/officeDocument/2006/relationships/hyperlink" Target="https://x.com/BookitWithTrent/status/2093437614137254005" TargetMode="External" Id="rId136"/><Relationship Type="http://schemas.openxmlformats.org/officeDocument/2006/relationships/hyperlink" Target="https://x.com/BookitWithTrent/status/2093437614137254005" TargetMode="External" Id="rId137"/><Relationship Type="http://schemas.openxmlformats.org/officeDocument/2006/relationships/hyperlink" Target="https://x.com/BookitWithTrent/status/2093437614137254005" TargetMode="External" Id="rId138"/><Relationship Type="http://schemas.openxmlformats.org/officeDocument/2006/relationships/hyperlink" Target="https://x.com/stevewilldoit/status/2093471447410741328" TargetMode="External" Id="rId139"/><Relationship Type="http://schemas.openxmlformats.org/officeDocument/2006/relationships/hyperlink" Target="https://x.com/stevewilldoit/status/2093494050812825684" TargetMode="External" Id="rId140"/><Relationship Type="http://schemas.openxmlformats.org/officeDocument/2006/relationships/hyperlink" Target="https://x.com/stevewilldoit/status/2093511892169863248" TargetMode="External" Id="rId141"/><Relationship Type="http://schemas.openxmlformats.org/officeDocument/2006/relationships/hyperlink" Target="https://x.com/BookitWithTrent/status/2093711856837796333" TargetMode="External" Id="rId142"/><Relationship Type="http://schemas.openxmlformats.org/officeDocument/2006/relationships/hyperlink" Target="https://x.com/stevewilldoit/status/2093750444094820428" TargetMode="External" Id="rId143"/><Relationship Type="http://schemas.openxmlformats.org/officeDocument/2006/relationships/hyperlink" Target="https://x.com/stevewilldoit/status/2093752458895863957" TargetMode="External" Id="rId144"/><Relationship Type="http://schemas.openxmlformats.org/officeDocument/2006/relationships/hyperlink" Target="https://x.com/BookitWithTrent/status/2093824417809805755" TargetMode="External" Id="rId145"/><Relationship Type="http://schemas.openxmlformats.org/officeDocument/2006/relationships/hyperlink" Target="https://x.com/stevewilldoit/status/2093826152443826193" TargetMode="External" Id="rId146"/><Relationship Type="http://schemas.openxmlformats.org/officeDocument/2006/relationships/hyperlink" Target="https://x.com/BookitWithTrent/status/2093862062124306566" TargetMode="External" Id="rId147"/><Relationship Type="http://schemas.openxmlformats.org/officeDocument/2006/relationships/hyperlink" Target="https://x.com/stevewilldoit/status/2094096084666626144" TargetMode="External" Id="rId148"/><Relationship Type="http://schemas.openxmlformats.org/officeDocument/2006/relationships/hyperlink" Target="https://x.com/stevewilldoit/status/2094149256403632503" TargetMode="External" Id="rId149"/><Relationship Type="http://schemas.openxmlformats.org/officeDocument/2006/relationships/hyperlink" Target="https://x.com/BookitWithTrent/status/2094163107786432989" TargetMode="External" Id="rId150"/><Relationship Type="http://schemas.openxmlformats.org/officeDocument/2006/relationships/hyperlink" Target="https://x.com/stevewilldoit/status/2094174276173590529" TargetMode="External" Id="rId151"/><Relationship Type="http://schemas.openxmlformats.org/officeDocument/2006/relationships/hyperlink" Target="https://x.com/BookitWithTrent/status/2094520773310357594" TargetMode="External" Id="rId152"/><Relationship Type="http://schemas.openxmlformats.org/officeDocument/2006/relationships/hyperlink" Target="https://x.com/stevewilldoit/status/2094591530614820959" TargetMode="External" Id="rId153"/><Relationship Type="http://schemas.openxmlformats.org/officeDocument/2006/relationships/hyperlink" Target="https://x.com/stevewilldoit/status/2094591530614820959" TargetMode="External" Id="rId154"/><Relationship Type="http://schemas.openxmlformats.org/officeDocument/2006/relationships/hyperlink" Target="https://x.com/BookitWithTrent/status/2094607668878905367" TargetMode="External" Id="rId155"/><Relationship Type="http://schemas.openxmlformats.org/officeDocument/2006/relationships/hyperlink" Target="https://x.com/BookitWithTrent/status/2094607668878905367" TargetMode="External" Id="rId156"/><Relationship Type="http://schemas.openxmlformats.org/officeDocument/2006/relationships/hyperlink" Target="https://x.com/stevewilldoit/status/2094727487750091134" TargetMode="External" Id="rId157"/><Relationship Type="http://schemas.openxmlformats.org/officeDocument/2006/relationships/hyperlink" Target="https://x.com/stevewilldoit/status/2094727487750091134" TargetMode="External" Id="rId158"/><Relationship Type="http://schemas.openxmlformats.org/officeDocument/2006/relationships/hyperlink" Target="https://x.com/stevewilldoit/status/2094727487750091134" TargetMode="External" Id="rId159"/><Relationship Type="http://schemas.openxmlformats.org/officeDocument/2006/relationships/hyperlink" Target="https://x.com/stevewilldoit/status/2094727487750091134" TargetMode="External" Id="rId160"/><Relationship Type="http://schemas.openxmlformats.org/officeDocument/2006/relationships/hyperlink" Target="https://x.com/BookitWithTrent/status/2094809745299296314" TargetMode="External" Id="rId161"/><Relationship Type="http://schemas.openxmlformats.org/officeDocument/2006/relationships/hyperlink" Target="https://x.com/stevewilldoit/status/2094915166529814833" TargetMode="External" Id="rId162"/><Relationship Type="http://schemas.openxmlformats.org/officeDocument/2006/relationships/hyperlink" Target="https://x.com/stevewilldoit/status/2094921110991049128" TargetMode="External" Id="rId163"/><Relationship Type="http://schemas.openxmlformats.org/officeDocument/2006/relationships/hyperlink" Target="https://x.com/BookitWithTrent/status/2095182824701653089" TargetMode="External" Id="rId164"/><Relationship Type="http://schemas.openxmlformats.org/officeDocument/2006/relationships/hyperlink" Target="https://x.com/BookitWithTrent/status/2095182824701653089" TargetMode="External" Id="rId165"/><Relationship Type="http://schemas.openxmlformats.org/officeDocument/2006/relationships/hyperlink" Target="https://x.com/BookitWithTrent/status/2095182824701653089" TargetMode="External" Id="rId166"/><Relationship Type="http://schemas.openxmlformats.org/officeDocument/2006/relationships/hyperlink" Target="https://x.com/BookitWithTrent/status/2095182824701653089" TargetMode="External" Id="rId167"/><Relationship Type="http://schemas.openxmlformats.org/officeDocument/2006/relationships/hyperlink" Target="https://x.com/stevewilldoit/status/2095200034895564899" TargetMode="External" Id="rId168"/><Relationship Type="http://schemas.openxmlformats.org/officeDocument/2006/relationships/hyperlink" Target="https://x.com/stevewilldoit/status/2095200951879528834" TargetMode="External" Id="rId169"/><Relationship Type="http://schemas.openxmlformats.org/officeDocument/2006/relationships/hyperlink" Target="https://x.com/stevewilldoit/status/2095202120794296464" TargetMode="External" Id="rId170"/><Relationship Type="http://schemas.openxmlformats.org/officeDocument/2006/relationships/hyperlink" Target="https://x.com/stevewilldoit/status/2095204001889329394" TargetMode="External" Id="rId171"/><Relationship Type="http://schemas.openxmlformats.org/officeDocument/2006/relationships/hyperlink" Target="https://x.com/stevewilldoit/status/2095265616626094313" TargetMode="External" Id="rId172"/><Relationship Type="http://schemas.openxmlformats.org/officeDocument/2006/relationships/hyperlink" Target="https://x.com/BookitWithTrent/status/2095267637739589754" TargetMode="External" Id="rId173"/><Relationship Type="http://schemas.openxmlformats.org/officeDocument/2006/relationships/hyperlink" Target="https://x.com/BookitWithTrent/status/2095479398791102706" TargetMode="External" Id="rId174"/><Relationship Type="http://schemas.openxmlformats.org/officeDocument/2006/relationships/hyperlink" Target="https://x.com/BookitWithTrent/status/2095530803912380554" TargetMode="External" Id="rId175"/><Relationship Type="http://schemas.openxmlformats.org/officeDocument/2006/relationships/hyperlink" Target="https://x.com/BookitWithTrent/status/2095603614224150822" TargetMode="External" Id="rId176"/><Relationship Type="http://schemas.openxmlformats.org/officeDocument/2006/relationships/hyperlink" Target="https://x.com/BookitWithTrent/status/2095617123192377443" TargetMode="External" Id="rId177"/><Relationship Type="http://schemas.openxmlformats.org/officeDocument/2006/relationships/hyperlink" Target="https://x.com/stevewilldoit/status/2095619648335098084" TargetMode="External" Id="rId178"/><Relationship Type="http://schemas.openxmlformats.org/officeDocument/2006/relationships/hyperlink" Target="https://x.com/stevewilldoit/status/2095932835223769170" TargetMode="External" Id="rId179"/><Relationship Type="http://schemas.openxmlformats.org/officeDocument/2006/relationships/hyperlink" Target="https://x.com/stevewilldoit/status/2095976615909921091" TargetMode="External" Id="rId180"/><Relationship Type="http://schemas.openxmlformats.org/officeDocument/2006/relationships/hyperlink" Target="https://x.com/BookitWithTrent/status/2095980753066885380" TargetMode="External" Id="rId181"/><Relationship Type="http://schemas.openxmlformats.org/officeDocument/2006/relationships/hyperlink" Target="https://x.com/BookitWithTrent/status/2095980753066885380" TargetMode="External" Id="rId182"/><Relationship Type="http://schemas.openxmlformats.org/officeDocument/2006/relationships/hyperlink" Target="https://x.com/BookitWithTrent/status/2095980753066885380" TargetMode="External" Id="rId183"/><Relationship Type="http://schemas.openxmlformats.org/officeDocument/2006/relationships/hyperlink" Target="https://x.com/BookitWithTrent/status/2095980753066885380" TargetMode="External" Id="rId184"/><Relationship Type="http://schemas.openxmlformats.org/officeDocument/2006/relationships/hyperlink" Target="https://x.com/stevewilldoit/status/2096001049362391424" TargetMode="External" Id="rId185"/><Relationship Type="http://schemas.openxmlformats.org/officeDocument/2006/relationships/hyperlink" Target="https://x.com/BookitWithTrent/status/2096259743195275655" TargetMode="External" Id="rId186"/><Relationship Type="http://schemas.openxmlformats.org/officeDocument/2006/relationships/hyperlink" Target="https://x.com/BookitWithTrent/status/2096259743195275655" TargetMode="External" Id="rId187"/><Relationship Type="http://schemas.openxmlformats.org/officeDocument/2006/relationships/hyperlink" Target="https://x.com/BookitWithTrent/status/2096259743195275655" TargetMode="External" Id="rId188"/><Relationship Type="http://schemas.openxmlformats.org/officeDocument/2006/relationships/hyperlink" Target="https://x.com/BookitWithTrent/status/2096259743195275655" TargetMode="External" Id="rId189"/><Relationship Type="http://schemas.openxmlformats.org/officeDocument/2006/relationships/hyperlink" Target="https://x.com/stevewilldoit/status/2096276947529617476" TargetMode="External" Id="rId190"/><Relationship Type="http://schemas.openxmlformats.org/officeDocument/2006/relationships/hyperlink" Target="https://x.com/stevewilldoit/status/2096276947529617476" TargetMode="External" Id="rId191"/><Relationship Type="http://schemas.openxmlformats.org/officeDocument/2006/relationships/hyperlink" Target="https://x.com/stevewilldoit/status/2096276947529617476" TargetMode="External" Id="rId192"/><Relationship Type="http://schemas.openxmlformats.org/officeDocument/2006/relationships/hyperlink" Target="https://x.com/stevewilldoit/status/2096276947529617476" TargetMode="External" Id="rId193"/><Relationship Type="http://schemas.openxmlformats.org/officeDocument/2006/relationships/hyperlink" Target="https://x.com/stevewilldoit/status/2096286372608749856" TargetMode="External" Id="rId194"/><Relationship Type="http://schemas.openxmlformats.org/officeDocument/2006/relationships/hyperlink" Target="https://x.com/stevewilldoit/status/2096286372608749856" TargetMode="External" Id="rId195"/><Relationship Type="http://schemas.openxmlformats.org/officeDocument/2006/relationships/hyperlink" Target="https://x.com/stevewilldoit/status/2096303885832814952" TargetMode="External" Id="rId196"/><Relationship Type="http://schemas.openxmlformats.org/officeDocument/2006/relationships/hyperlink" Target="https://x.com/stevewilldoit/status/2096315499818651727" TargetMode="External" Id="rId197"/><Relationship Type="http://schemas.openxmlformats.org/officeDocument/2006/relationships/hyperlink" Target="https://x.com/stevewilldoit/status/2096315499818651727" TargetMode="External" Id="rId198"/><Relationship Type="http://schemas.openxmlformats.org/officeDocument/2006/relationships/hyperlink" Target="https://x.com/stevewilldoit/status/2096338782941253837" TargetMode="External" Id="rId199"/><Relationship Type="http://schemas.openxmlformats.org/officeDocument/2006/relationships/hyperlink" Target="https://x.com/stevewilldoit/status/2096338782941253837" TargetMode="External" Id="rId200"/><Relationship Type="http://schemas.openxmlformats.org/officeDocument/2006/relationships/hyperlink" Target="https://x.com/stevewilldoit/status/2096346209824702866" TargetMode="External" Id="rId201"/><Relationship Type="http://schemas.openxmlformats.org/officeDocument/2006/relationships/hyperlink" Target="https://x.com/stevewilldoit/status/2096351223360229795" TargetMode="External" Id="rId202"/><Relationship Type="http://schemas.openxmlformats.org/officeDocument/2006/relationships/hyperlink" Target="https://x.com/stevewilldoit/status/2096351223360229795" TargetMode="External" Id="rId203"/><Relationship Type="http://schemas.openxmlformats.org/officeDocument/2006/relationships/hyperlink" Target="https://x.com/stevewilldoit/status/2096351223360229795" TargetMode="External" Id="rId204"/><Relationship Type="http://schemas.openxmlformats.org/officeDocument/2006/relationships/hyperlink" Target="https://x.com/stevewilldoit/status/2096351838769381450" TargetMode="External" Id="rId205"/><Relationship Type="http://schemas.openxmlformats.org/officeDocument/2006/relationships/hyperlink" Target="https://x.com/stevewilldoit/status/2096361256475115999" TargetMode="External" Id="rId206"/><Relationship Type="http://schemas.openxmlformats.org/officeDocument/2006/relationships/hyperlink" Target="https://x.com/stevewilldoit/status/2096363968650465678" TargetMode="External" Id="rId207"/><Relationship Type="http://schemas.openxmlformats.org/officeDocument/2006/relationships/hyperlink" Target="https://x.com/stevewilldoit/status/2096363968650465678" TargetMode="External" Id="rId208"/><Relationship Type="http://schemas.openxmlformats.org/officeDocument/2006/relationships/hyperlink" Target="https://x.com/BookitWithTrent/status/2096368004661424577" TargetMode="External" Id="rId209"/><Relationship Type="http://schemas.openxmlformats.org/officeDocument/2006/relationships/hyperlink" Target="https://x.com/BookitWithTrent/status/2096371334024495161" TargetMode="External" Id="rId210"/><Relationship Type="http://schemas.openxmlformats.org/officeDocument/2006/relationships/hyperlink" Target="https://x.com/stevewilldoit/status/2096380338419229132" TargetMode="External" Id="rId211"/><Relationship Type="http://schemas.openxmlformats.org/officeDocument/2006/relationships/hyperlink" Target="https://x.com/stevewilldoit/status/2096643850823500135" TargetMode="External" Id="rId212"/><Relationship Type="http://schemas.openxmlformats.org/officeDocument/2006/relationships/hyperlink" Target="https://x.com/BookitWithTrent/status/2096682444678213978" TargetMode="External" Id="rId213"/><Relationship Type="http://schemas.openxmlformats.org/officeDocument/2006/relationships/hyperlink" Target="https://x.com/BookitWithTrent/status/2096682444678213978" TargetMode="External" Id="rId214"/><Relationship Type="http://schemas.openxmlformats.org/officeDocument/2006/relationships/hyperlink" Target="https://x.com/BookitWithTrent/status/2096682444678213978" TargetMode="External" Id="rId215"/><Relationship Type="http://schemas.openxmlformats.org/officeDocument/2006/relationships/hyperlink" Target="https://x.com/BookitWithTrent/status/2096781931220193378" TargetMode="External" Id="rId216"/><Relationship Type="http://schemas.openxmlformats.org/officeDocument/2006/relationships/hyperlink" Target="https://x.com/stevewilldoit/status/2096790893281857658" TargetMode="External" Id="rId217"/><Relationship Type="http://schemas.openxmlformats.org/officeDocument/2006/relationships/hyperlink" Target="https://x.com/stevewilldoit/status/2096790893281857658" TargetMode="External" Id="rId218"/><Relationship Type="http://schemas.openxmlformats.org/officeDocument/2006/relationships/hyperlink" Target="https://x.com/stevewilldoit/status/2096807884281503768" TargetMode="External" Id="rId219"/><Relationship Type="http://schemas.openxmlformats.org/officeDocument/2006/relationships/hyperlink" Target="https://x.com/stevewilldoit/status/2096834578442772718" TargetMode="External" Id="rId220"/><Relationship Type="http://schemas.openxmlformats.org/officeDocument/2006/relationships/hyperlink" Target="https://x.com/BookitWithTrent/status/2097005147926749338" TargetMode="External" Id="rId221"/><Relationship Type="http://schemas.openxmlformats.org/officeDocument/2006/relationships/hyperlink" Target="https://x.com/BookitWithTrent/status/2097005147926749338" TargetMode="External" Id="rId222"/><Relationship Type="http://schemas.openxmlformats.org/officeDocument/2006/relationships/hyperlink" Target="https://x.com/BookitWithTrent/status/2097005147926749338" TargetMode="External" Id="rId223"/><Relationship Type="http://schemas.openxmlformats.org/officeDocument/2006/relationships/hyperlink" Target="https://x.com/BookitWithTrent/status/2097005147926749338" TargetMode="External" Id="rId224"/><Relationship Type="http://schemas.openxmlformats.org/officeDocument/2006/relationships/hyperlink" Target="https://x.com/stevewilldoit/status/2097020672996262107" TargetMode="External" Id="rId225"/><Relationship Type="http://schemas.openxmlformats.org/officeDocument/2006/relationships/hyperlink" Target="https://x.com/BookitWithTrent/status/2097030211820785693" TargetMode="External" Id="rId226"/><Relationship Type="http://schemas.openxmlformats.org/officeDocument/2006/relationships/hyperlink" Target="https://x.com/BookitWithTrent/status/2097070985069379774" TargetMode="External" Id="rId227"/><Relationship Type="http://schemas.openxmlformats.org/officeDocument/2006/relationships/hyperlink" Target="https://x.com/BookitWithTrent/status/2097085114618413567" TargetMode="External" Id="rId228"/><Relationship Type="http://schemas.openxmlformats.org/officeDocument/2006/relationships/hyperlink" Target="https://x.com/stevewilldoit/status/2097099320172425517" TargetMode="External" Id="rId229"/><Relationship Type="http://schemas.openxmlformats.org/officeDocument/2006/relationships/hyperlink" Target="https://x.com/BookitWithTrent/status/2097356222680760601" TargetMode="External" Id="rId230"/><Relationship Type="http://schemas.openxmlformats.org/officeDocument/2006/relationships/hyperlink" Target="https://x.com/BookitWithTrent/status/2097381128080331113" TargetMode="External" Id="rId231"/><Relationship Type="http://schemas.openxmlformats.org/officeDocument/2006/relationships/hyperlink" Target="https://x.com/BookitWithTrent/status/2097431333052006680" TargetMode="External" Id="rId232"/><Relationship Type="http://schemas.openxmlformats.org/officeDocument/2006/relationships/hyperlink" Target="https://x.com/stevewilldoit/status/2097436920582201467" TargetMode="External" Id="rId233"/><Relationship Type="http://schemas.openxmlformats.org/officeDocument/2006/relationships/hyperlink" Target="https://x.com/stevewilldoit/status/2097436920582201467" TargetMode="External" Id="rId234"/><Relationship Type="http://schemas.openxmlformats.org/officeDocument/2006/relationships/hyperlink" Target="https://x.com/stevewilldoit/status/2097436920582201467" TargetMode="External" Id="rId235"/><Relationship Type="http://schemas.openxmlformats.org/officeDocument/2006/relationships/hyperlink" Target="https://x.com/stevewilldoit/status/2097507439994118315" TargetMode="External" Id="rId236"/><Relationship Type="http://schemas.openxmlformats.org/officeDocument/2006/relationships/hyperlink" Target="https://x.com/stevewilldoit/status/2097512462899610033" TargetMode="External" Id="rId237"/><Relationship Type="http://schemas.openxmlformats.org/officeDocument/2006/relationships/hyperlink" Target="https://x.com/stevewilldoit/status/2097753620091396320" TargetMode="External" Id="rId238"/><Relationship Type="http://schemas.openxmlformats.org/officeDocument/2006/relationships/hyperlink" Target="https://x.com/BookitWithTrent/status/2097773842806477055" TargetMode="External" Id="rId239"/><Relationship Type="http://schemas.openxmlformats.org/officeDocument/2006/relationships/hyperlink" Target="https://x.com/BookitWithTrent/status/2097775790679007286" TargetMode="External" Id="rId240"/><Relationship Type="http://schemas.openxmlformats.org/officeDocument/2006/relationships/hyperlink" Target="https://x.com/BookitWithTrent/status/2097800596325552176" TargetMode="External" Id="rId241"/><Relationship Type="http://schemas.openxmlformats.org/officeDocument/2006/relationships/hyperlink" Target="https://x.com/stevewilldoit/status/2097883029532299500" TargetMode="External" Id="rId242"/><Relationship Type="http://schemas.openxmlformats.org/officeDocument/2006/relationships/hyperlink" Target="https://x.com/stevewilldoit/status/2097940754798678203" TargetMode="External" Id="rId243"/><Relationship Type="http://schemas.openxmlformats.org/officeDocument/2006/relationships/hyperlink" Target="https://x.com/BookitWithTrent/status/2098093724261585001" TargetMode="External" Id="rId244"/><Relationship Type="http://schemas.openxmlformats.org/officeDocument/2006/relationships/hyperlink" Target="https://x.com/BookitWithTrent/status/2098100302985445402" TargetMode="External" Id="rId245"/><Relationship Type="http://schemas.openxmlformats.org/officeDocument/2006/relationships/hyperlink" Target="https://x.com/BookitWithTrent/status/2098125918807953490" TargetMode="External" Id="rId246"/><Relationship Type="http://schemas.openxmlformats.org/officeDocument/2006/relationships/hyperlink" Target="https://x.com/BookitWithTrent/status/2098170737458655255" TargetMode="External" Id="rId247"/><Relationship Type="http://schemas.openxmlformats.org/officeDocument/2006/relationships/hyperlink" Target="https://x.com/stevewilldoit/status/2098186950318366944" TargetMode="External" Id="rId248"/><Relationship Type="http://schemas.openxmlformats.org/officeDocument/2006/relationships/hyperlink" Target="https://x.com/BookitWithTrent/status/2098484967139348742" TargetMode="External" Id="rId249"/><Relationship Type="http://schemas.openxmlformats.org/officeDocument/2006/relationships/hyperlink" Target="https://x.com/stevewilldoit/status/2098486153531822213" TargetMode="External" Id="rId250"/><Relationship Type="http://schemas.openxmlformats.org/officeDocument/2006/relationships/hyperlink" Target="https://x.com/BookitWithTrent/status/2098523510662406390" TargetMode="External" Id="rId251"/><Relationship Type="http://schemas.openxmlformats.org/officeDocument/2006/relationships/hyperlink" Target="https://x.com/stevewilldoit/status/2098594534443684266" TargetMode="External" Id="rId252"/><Relationship Type="http://schemas.openxmlformats.org/officeDocument/2006/relationships/hyperlink" Target="https://x.com/BookitWithTrent/status/2098788555220795713" TargetMode="External" Id="rId253"/><Relationship Type="http://schemas.openxmlformats.org/officeDocument/2006/relationships/hyperlink" Target="https://x.com/BookitWithTrent/status/2098789774932783414" TargetMode="External" Id="rId254"/><Relationship Type="http://schemas.openxmlformats.org/officeDocument/2006/relationships/hyperlink" Target="https://x.com/stevewilldoit/status/2098796197209055405" TargetMode="External" Id="rId255"/><Relationship Type="http://schemas.openxmlformats.org/officeDocument/2006/relationships/hyperlink" Target="https://x.com/BookitWithTrent/status/2098833752537420119" TargetMode="External" Id="rId256"/><Relationship Type="http://schemas.openxmlformats.org/officeDocument/2006/relationships/hyperlink" Target="https://x.com/stevewilldoit/status/2098836796478013642" TargetMode="External" Id="rId257"/><Relationship Type="http://schemas.openxmlformats.org/officeDocument/2006/relationships/hyperlink" Target="https://x.com/stevewilldoit/status/2098842124426891535" TargetMode="External" Id="rId258"/><Relationship Type="http://schemas.openxmlformats.org/officeDocument/2006/relationships/hyperlink" Target="https://x.com/stevewilldoit/status/2098842895037927710" TargetMode="External" Id="rId259"/><Relationship Type="http://schemas.openxmlformats.org/officeDocument/2006/relationships/hyperlink" Target="https://x.com/stevewilldoit/status/2098844941019435185" TargetMode="External" Id="rId260"/><Relationship Type="http://schemas.openxmlformats.org/officeDocument/2006/relationships/hyperlink" Target="https://x.com/stevewilldoit/status/2098894031501541611" TargetMode="External" Id="rId261"/><Relationship Type="http://schemas.openxmlformats.org/officeDocument/2006/relationships/hyperlink" Target="https://x.com/stevewilldoit/status/2098894031501541611" TargetMode="External" Id="rId262"/><Relationship Type="http://schemas.openxmlformats.org/officeDocument/2006/relationships/hyperlink" Target="https://x.com/BookitWithTrent/status/2099161234461368521" TargetMode="External" Id="rId263"/><Relationship Type="http://schemas.openxmlformats.org/officeDocument/2006/relationships/hyperlink" Target="https://x.com/stevewilldoit/status/2099161238353641623" TargetMode="External" Id="rId264"/><Relationship Type="http://schemas.openxmlformats.org/officeDocument/2006/relationships/hyperlink" Target="https://x.com/BookitWithTrent/status/2099170648429830389" TargetMode="External" Id="rId265"/><Relationship Type="http://schemas.openxmlformats.org/officeDocument/2006/relationships/hyperlink" Target="https://x.com/BookitWithTrent/status/2099171655431950681" TargetMode="External" Id="rId266"/><Relationship Type="http://schemas.openxmlformats.org/officeDocument/2006/relationships/hyperlink" Target="https://x.com/BookitWithTrent/status/2099226960991752577" TargetMode="External" Id="rId267"/><Relationship Type="http://schemas.openxmlformats.org/officeDocument/2006/relationships/hyperlink" Target="https://x.com/stevewilldoit/status/2099230474077946223" TargetMode="External" Id="rId268"/><Relationship Type="http://schemas.openxmlformats.org/officeDocument/2006/relationships/hyperlink" Target="https://x.com/BookitWithTrent/status/2099269336917586153" TargetMode="External" Id="rId269"/><Relationship Type="http://schemas.openxmlformats.org/officeDocument/2006/relationships/hyperlink" Target="https://x.com/BookitWithTrent/status/2099273454717468853" TargetMode="External" Id="rId270"/><Relationship Type="http://schemas.openxmlformats.org/officeDocument/2006/relationships/hyperlink" Target="https://x.com/BookitWithTrent/status/2099281299617833272" TargetMode="External" Id="rId271"/><Relationship Type="http://schemas.openxmlformats.org/officeDocument/2006/relationships/hyperlink" Target="https://x.com/stevewilldoit/status/2099287879742857561" TargetMode="External" Id="rId272"/><Relationship Type="http://schemas.openxmlformats.org/officeDocument/2006/relationships/hyperlink" Target="https://x.com/stevewilldoit/status/2099454281317318981" TargetMode="External" Id="rId273"/><Relationship Type="http://schemas.openxmlformats.org/officeDocument/2006/relationships/hyperlink" Target="https://x.com/stevewilldoit/status/2099527058758021382" TargetMode="External" Id="rId274"/><Relationship Type="http://schemas.openxmlformats.org/officeDocument/2006/relationships/hyperlink" Target="https://x.com/BookitWithTrent/status/2099555602665968125" TargetMode="External" Id="rId275"/><Relationship Type="http://schemas.openxmlformats.org/officeDocument/2006/relationships/hyperlink" Target="https://x.com/BookitWithTrent/status/2099586485263487452" TargetMode="External" Id="rId276"/><Relationship Type="http://schemas.openxmlformats.org/officeDocument/2006/relationships/hyperlink" Target="https://x.com/BookitWithTrent/status/2099915623102923099" TargetMode="External" Id="rId277"/><Relationship Type="http://schemas.openxmlformats.org/officeDocument/2006/relationships/hyperlink" Target="https://x.com/BookitWithTrent/status/2099916401712509012" TargetMode="External" Id="rId278"/><Relationship Type="http://schemas.openxmlformats.org/officeDocument/2006/relationships/hyperlink" Target="https://x.com/BookitWithTrent/status/2099957138554507270" TargetMode="External" Id="rId279"/><Relationship Type="http://schemas.openxmlformats.org/officeDocument/2006/relationships/hyperlink" Target="https://x.com/BookitWithTrent/status/2100051402995175645" TargetMode="External" Id="rId280"/><Relationship Type="http://schemas.openxmlformats.org/officeDocument/2006/relationships/hyperlink" Target="https://x.com/stevewilldoit/status/2100097743742017602" TargetMode="External" Id="rId281"/><Relationship Type="http://schemas.openxmlformats.org/officeDocument/2006/relationships/hyperlink" Target="https://x.com/stevewilldoit/status/2100211487969095819" TargetMode="External" Id="rId282"/><Relationship Type="http://schemas.openxmlformats.org/officeDocument/2006/relationships/hyperlink" Target="https://x.com/stevewilldoit/status/2100314617117376771" TargetMode="External" Id="rId283"/><Relationship Type="http://schemas.openxmlformats.org/officeDocument/2006/relationships/hyperlink" Target="https://x.com/stevewilldoit/status/2100314617117376771" TargetMode="External" Id="rId284"/><Relationship Type="http://schemas.openxmlformats.org/officeDocument/2006/relationships/hyperlink" Target="https://x.com/stevewilldoit/status/2100367576526192695" TargetMode="External" Id="rId285"/><Relationship Type="http://schemas.openxmlformats.org/officeDocument/2006/relationships/hyperlink" Target="https://x.com/BookitWithTrent/status/2100415394502562060" TargetMode="External" Id="rId286"/><Relationship Type="http://schemas.openxmlformats.org/officeDocument/2006/relationships/hyperlink" Target="https://x.com/stevewilldoit/status/2100439655481065570" TargetMode="External" Id="rId287"/><Relationship Type="http://schemas.openxmlformats.org/officeDocument/2006/relationships/hyperlink" Target="https://x.com/BookitWithTrent/status/2100614458011750552" TargetMode="External" Id="rId288"/><Relationship Type="http://schemas.openxmlformats.org/officeDocument/2006/relationships/hyperlink" Target="https://x.com/stevewilldoit/status/2100649196319601147" TargetMode="External" Id="rId289"/><Relationship Type="http://schemas.openxmlformats.org/officeDocument/2006/relationships/hyperlink" Target="https://x.com/BookitWithTrent/status/2100699921443664104" TargetMode="External" Id="rId290"/><Relationship Type="http://schemas.openxmlformats.org/officeDocument/2006/relationships/hyperlink" Target="https://x.com/stevewilldoit/status/2100980477775561185" TargetMode="External" Id="rId291"/><Relationship Type="http://schemas.openxmlformats.org/officeDocument/2006/relationships/hyperlink" Target="https://x.com/stevewilldoit/status/2100980477775561185" TargetMode="External" Id="rId292"/><Relationship Type="http://schemas.openxmlformats.org/officeDocument/2006/relationships/hyperlink" Target="https://x.com/stevewilldoit/status/2100987862741033055" TargetMode="External" Id="rId293"/><Relationship Type="http://schemas.openxmlformats.org/officeDocument/2006/relationships/hyperlink" Target="https://x.com/stevewilldoit/status/2101023580632891615" TargetMode="External" Id="rId294"/><Relationship Type="http://schemas.openxmlformats.org/officeDocument/2006/relationships/hyperlink" Target="https://x.com/BookitWithTrent/status/2101064047160635813" TargetMode="External" Id="rId295"/><Relationship Type="http://schemas.openxmlformats.org/officeDocument/2006/relationships/hyperlink" Target="https://x.com/stevewilldoit/status/2101085854315720836" TargetMode="External" Id="rId296"/><Relationship Type="http://schemas.openxmlformats.org/officeDocument/2006/relationships/hyperlink" Target="https://x.com/stevewilldoit/status/2101094729899266150" TargetMode="External" Id="rId297"/><Relationship Type="http://schemas.openxmlformats.org/officeDocument/2006/relationships/hyperlink" Target="https://x.com/stevewilldoit/status/2101136601904504864" TargetMode="External" Id="rId298"/><Relationship Type="http://schemas.openxmlformats.org/officeDocument/2006/relationships/hyperlink" Target="https://x.com/stevewilldoit/status/2101144953309007921" TargetMode="External" Id="rId299"/><Relationship Type="http://schemas.openxmlformats.org/officeDocument/2006/relationships/hyperlink" Target="https://x.com/stevewilldoit/status/2101268406141964491" TargetMode="External" Id="rId300"/><Relationship Type="http://schemas.openxmlformats.org/officeDocument/2006/relationships/hyperlink" Target="https://x.com/stevewilldoit/status/2101319735811989906" TargetMode="External" Id="rId301"/><Relationship Type="http://schemas.openxmlformats.org/officeDocument/2006/relationships/hyperlink" Target="https://x.com/BookitWithTrent/status/2101344660631281915" TargetMode="External" Id="rId302"/><Relationship Type="http://schemas.openxmlformats.org/officeDocument/2006/relationships/hyperlink" Target="https://x.com/stevewilldoit/status/2101391461786714353" TargetMode="External" Id="rId303"/><Relationship Type="http://schemas.openxmlformats.org/officeDocument/2006/relationships/hyperlink" Target="https://x.com/stevewilldoit/status/2101408769972359271" TargetMode="External" Id="rId304"/><Relationship Type="http://schemas.openxmlformats.org/officeDocument/2006/relationships/hyperlink" Target="https://x.com/stevewilldoit/status/2101420632063754686" TargetMode="External" Id="rId305"/><Relationship Type="http://schemas.openxmlformats.org/officeDocument/2006/relationships/hyperlink" Target="https://x.com/stevewilldoit/status/2101481959230709896" TargetMode="External" Id="rId306"/><Relationship Type="http://schemas.openxmlformats.org/officeDocument/2006/relationships/hyperlink" Target="https://x.com/stevewilldoit/status/2101491374973464844" TargetMode="External" Id="rId307"/><Relationship Type="http://schemas.openxmlformats.org/officeDocument/2006/relationships/hyperlink" Target="https://x.com/stevewilldoit/status/2101494812692103375" TargetMode="External" Id="rId308"/><Relationship Type="http://schemas.openxmlformats.org/officeDocument/2006/relationships/hyperlink" Target="https://x.com/stevewilldoit/status/2101508904161055125" TargetMode="External" Id="rId309"/><Relationship Type="http://schemas.openxmlformats.org/officeDocument/2006/relationships/hyperlink" Target="https://x.com/BookitWithTrent/status/2101515706525237352" TargetMode="External" Id="rId310"/><Relationship Type="http://schemas.openxmlformats.org/officeDocument/2006/relationships/hyperlink" Target="https://x.com/stevewilldoit/status/2101528724080353728" TargetMode="External" Id="rId311"/><Relationship Type="http://schemas.openxmlformats.org/officeDocument/2006/relationships/hyperlink" Target="https://x.com/stevewilldoit/status/2101529352995319956" TargetMode="External" Id="rId312"/><Relationship Type="http://schemas.openxmlformats.org/officeDocument/2006/relationships/hyperlink" Target="https://x.com/stevewilldoit/status/2101532333211840808" TargetMode="External" Id="rId313"/><Relationship Type="http://schemas.openxmlformats.org/officeDocument/2006/relationships/hyperlink" Target="https://x.com/stevewilldoit/status/2101532726012662253" TargetMode="External" Id="rId314"/><Relationship Type="http://schemas.openxmlformats.org/officeDocument/2006/relationships/hyperlink" Target="https://x.com/stevewilldoit/status/2101532816617938979" TargetMode="External" Id="rId315"/><Relationship Type="http://schemas.openxmlformats.org/officeDocument/2006/relationships/hyperlink" Target="https://x.com/BookitWithTrent/status/2101686898108281256" TargetMode="External" Id="rId316"/><Relationship Type="http://schemas.openxmlformats.org/officeDocument/2006/relationships/hyperlink" Target="https://x.com/BookitWithTrent/status/2101695754523828349" TargetMode="External" Id="rId317"/><Relationship Type="http://schemas.openxmlformats.org/officeDocument/2006/relationships/hyperlink" Target="https://x.com/stevewilldoit/status/2101778389208113642" TargetMode="External" Id="rId318"/><Relationship Type="http://schemas.openxmlformats.org/officeDocument/2006/relationships/hyperlink" Target="https://x.com/BookitWithTrent/status/2101788668138578357" TargetMode="External" Id="rId319"/><Relationship Type="http://schemas.openxmlformats.org/officeDocument/2006/relationships/hyperlink" Target="https://x.com/BookitWithTrent/status/2101818677268021305" TargetMode="External" Id="rId320"/><Relationship Type="http://schemas.openxmlformats.org/officeDocument/2006/relationships/hyperlink" Target="https://x.com/stevewilldoit/status/2101821505550061851" TargetMode="External" Id="rId321"/><Relationship Type="http://schemas.openxmlformats.org/officeDocument/2006/relationships/hyperlink" Target="https://x.com/BookitWithTrent/status/2102116077392056440" TargetMode="External" Id="rId322"/><Relationship Type="http://schemas.openxmlformats.org/officeDocument/2006/relationships/hyperlink" Target="https://x.com/BookitWithTrent/status/2102125166784327969" TargetMode="External" Id="rId323"/><Relationship Type="http://schemas.openxmlformats.org/officeDocument/2006/relationships/hyperlink" Target="https://x.com/BookitWithTrent/status/2102127858109800793" TargetMode="External" Id="rId324"/><Relationship Type="http://schemas.openxmlformats.org/officeDocument/2006/relationships/hyperlink" Target="https://x.com/BookitWithTrent/status/2102128002670768174" TargetMode="External" Id="rId325"/><Relationship Type="http://schemas.openxmlformats.org/officeDocument/2006/relationships/hyperlink" Target="https://x.com/BookitWithTrent/status/2102162848289804575" TargetMode="External" Id="rId326"/><Relationship Type="http://schemas.openxmlformats.org/officeDocument/2006/relationships/hyperlink" Target="https://x.com/stevewilldoit/status/2102193510195626176" TargetMode="External" Id="rId327"/><Relationship Type="http://schemas.openxmlformats.org/officeDocument/2006/relationships/hyperlink" Target="https://x.com/stevewilldoit/status/2102193799157928090" TargetMode="External" Id="rId328"/><Relationship Type="http://schemas.openxmlformats.org/officeDocument/2006/relationships/hyperlink" Target="https://x.com/BookitWithTrent/status/2102445721374843038" TargetMode="External" Id="rId329"/><Relationship Type="http://schemas.openxmlformats.org/officeDocument/2006/relationships/hyperlink" Target="https://x.com/BookitWithTrent/status/2102453758869545142" TargetMode="External" Id="rId330"/><Relationship Type="http://schemas.openxmlformats.org/officeDocument/2006/relationships/hyperlink" Target="https://x.com/stevewilldoit/status/2102466869072675005" TargetMode="External" Id="rId331"/><Relationship Type="http://schemas.openxmlformats.org/officeDocument/2006/relationships/hyperlink" Target="https://x.com/stevewilldoit/status/2102466869072675005" TargetMode="External" Id="rId332"/><Relationship Type="http://schemas.openxmlformats.org/officeDocument/2006/relationships/hyperlink" Target="https://x.com/stevewilldoit/status/2102495198722883974" TargetMode="External" Id="rId333"/><Relationship Type="http://schemas.openxmlformats.org/officeDocument/2006/relationships/hyperlink" Target="https://x.com/BookitWithTrent/status/2102508341742432588" TargetMode="External" Id="rId334"/><Relationship Type="http://schemas.openxmlformats.org/officeDocument/2006/relationships/hyperlink" Target="https://x.com/stevewilldoit/status/2102585584892186625" TargetMode="External" Id="rId335"/><Relationship Type="http://schemas.openxmlformats.org/officeDocument/2006/relationships/hyperlink" Target="https://x.com/stevewilldoit/status/2102586614207610979" TargetMode="External" Id="rId336"/><Relationship Type="http://schemas.openxmlformats.org/officeDocument/2006/relationships/hyperlink" Target="https://x.com/BookitWithTrent/status/2102623388816572855" TargetMode="External" Id="rId337"/><Relationship Type="http://schemas.openxmlformats.org/officeDocument/2006/relationships/hyperlink" Target="https://x.com/BookitWithTrent/status/2102632578171973957" TargetMode="External" Id="rId338"/><Relationship Type="http://schemas.openxmlformats.org/officeDocument/2006/relationships/hyperlink" Target="https://x.com/stevewilldoit/status/2102802120902869404" TargetMode="External" Id="rId339"/><Relationship Type="http://schemas.openxmlformats.org/officeDocument/2006/relationships/hyperlink" Target="https://x.com/stevewilldoit/status/2102802120902869404" TargetMode="External" Id="rId340"/><Relationship Type="http://schemas.openxmlformats.org/officeDocument/2006/relationships/hyperlink" Target="https://x.com/BookitWithTrent/status/2102852365611122772" TargetMode="External" Id="rId341"/><Relationship Type="http://schemas.openxmlformats.org/officeDocument/2006/relationships/hyperlink" Target="https://x.com/BookitWithTrent/status/2102858225280241893" TargetMode="External" Id="rId342"/><Relationship Type="http://schemas.openxmlformats.org/officeDocument/2006/relationships/hyperlink" Target="https://x.com/BookitWithTrent/status/2102866915731386486" TargetMode="External" Id="rId343"/><Relationship Type="http://schemas.openxmlformats.org/officeDocument/2006/relationships/hyperlink" Target="https://x.com/BookitWithTrent/status/2102980463635628326" TargetMode="External" Id="rId344"/><Relationship Type="http://schemas.openxmlformats.org/officeDocument/2006/relationships/hyperlink" Target="https://x.com/BookitWithTrent/status/2103120854167023831" TargetMode="External" Id="rId345"/><Relationship Type="http://schemas.openxmlformats.org/officeDocument/2006/relationships/hyperlink" Target="https://x.com/stevewilldoit/status/2103154303431070158" TargetMode="External" Id="rId346"/><Relationship Type="http://schemas.openxmlformats.org/officeDocument/2006/relationships/hyperlink" Target="https://x.com/BookitWithTrent/status/2103166467566932229" TargetMode="External" Id="rId347"/><Relationship Type="http://schemas.openxmlformats.org/officeDocument/2006/relationships/hyperlink" Target="https://x.com/BookitWithTrent/status/2103214768756572510" TargetMode="External" Id="rId348"/><Relationship Type="http://schemas.openxmlformats.org/officeDocument/2006/relationships/hyperlink" Target="https://x.com/stevewilldoit/status/2103219110549102940" TargetMode="External" Id="rId349"/><Relationship Type="http://schemas.openxmlformats.org/officeDocument/2006/relationships/hyperlink" Target="https://x.com/stevewilldoit/status/2103227542995951652" TargetMode="External" Id="rId350"/><Relationship Type="http://schemas.openxmlformats.org/officeDocument/2006/relationships/hyperlink" Target="https://x.com/BookitWithTrent/status/2103346508917563625" TargetMode="External" Id="rId351"/><Relationship Type="http://schemas.openxmlformats.org/officeDocument/2006/relationships/hyperlink" Target="https://x.com/stevewilldoit/status/2103514354230366270" TargetMode="External" Id="rId352"/><Relationship Type="http://schemas.openxmlformats.org/officeDocument/2006/relationships/hyperlink" Target="https://x.com/BookitWithTrent/status/2103529241069715492" TargetMode="External" Id="rId353"/><Relationship Type="http://schemas.openxmlformats.org/officeDocument/2006/relationships/hyperlink" Target="https://x.com/stevewilldoit/status/2103573931601055758" TargetMode="External" Id="rId354"/><Relationship Type="http://schemas.openxmlformats.org/officeDocument/2006/relationships/hyperlink" Target="https://x.com/BookitWithTrent/status/2103576574691782936" TargetMode="External" Id="rId355"/><Relationship Type="http://schemas.openxmlformats.org/officeDocument/2006/relationships/hyperlink" Target="https://x.com/BookitWithTrent/status/2103592906250686567" TargetMode="External" Id="rId356"/><Relationship Type="http://schemas.openxmlformats.org/officeDocument/2006/relationships/hyperlink" Target="https://x.com/BookitWithTrent/status/2103846611386347633" TargetMode="External" Id="rId357"/><Relationship Type="http://schemas.openxmlformats.org/officeDocument/2006/relationships/hyperlink" Target="https://x.com/BookitWithTrent/status/2103846611386347633" TargetMode="External" Id="rId358"/><Relationship Type="http://schemas.openxmlformats.org/officeDocument/2006/relationships/hyperlink" Target="https://x.com/BookitWithTrent/status/2103846611386347633" TargetMode="External" Id="rId359"/><Relationship Type="http://schemas.openxmlformats.org/officeDocument/2006/relationships/hyperlink" Target="https://x.com/BookitWithTrent/status/2103846611386347633" TargetMode="External" Id="rId360"/><Relationship Type="http://schemas.openxmlformats.org/officeDocument/2006/relationships/hyperlink" Target="https://x.com/BookitWithTrent/status/2103846611386347633" TargetMode="External" Id="rId361"/><Relationship Type="http://schemas.openxmlformats.org/officeDocument/2006/relationships/hyperlink" Target="https://x.com/BookitWithTrent/status/2103846611386347633" TargetMode="External" Id="rId362"/><Relationship Type="http://schemas.openxmlformats.org/officeDocument/2006/relationships/hyperlink" Target="https://x.com/BookitWithTrent/status/2103847957439369242" TargetMode="External" Id="rId363"/><Relationship Type="http://schemas.openxmlformats.org/officeDocument/2006/relationships/hyperlink" Target="https://x.com/stevewilldoit/status/2103954187511804132" TargetMode="External" Id="rId364"/><Relationship Type="http://schemas.openxmlformats.org/officeDocument/2006/relationships/hyperlink" Target="https://x.com/stevewilldoit/status/2103964183721382312" TargetMode="External" Id="rId365"/><Relationship Type="http://schemas.openxmlformats.org/officeDocument/2006/relationships/hyperlink" Target="https://x.com/stevewilldoit/status/2103964950687363462" TargetMode="External" Id="rId366"/><Relationship Type="http://schemas.openxmlformats.org/officeDocument/2006/relationships/hyperlink" Target="https://x.com/stevewilldoit/status/2103965352967495797" TargetMode="External" Id="rId367"/><Relationship Type="http://schemas.openxmlformats.org/officeDocument/2006/relationships/hyperlink" Target="https://x.com/stevewilldoit/status/2103965352967495797" TargetMode="External" Id="rId368"/><Relationship Type="http://schemas.openxmlformats.org/officeDocument/2006/relationships/hyperlink" Target="https://x.com/stevewilldoit/status/2103965352967495797" TargetMode="External" Id="rId369"/><Relationship Type="http://schemas.openxmlformats.org/officeDocument/2006/relationships/hyperlink" Target="https://x.com/stevewilldoit/status/2103994382634336319" TargetMode="External" Id="rId370"/><Relationship Type="http://schemas.openxmlformats.org/officeDocument/2006/relationships/hyperlink" Target="https://x.com/BookitWithTrent/status/2104043562170224660" TargetMode="External" Id="rId371"/><Relationship Type="http://schemas.openxmlformats.org/officeDocument/2006/relationships/hyperlink" Target="https://x.com/stevewilldoit/status/2104222030694642137" TargetMode="External" Id="rId372"/><Relationship Type="http://schemas.openxmlformats.org/officeDocument/2006/relationships/hyperlink" Target="https://x.com/stevewilldoit/status/2104222030694642137" TargetMode="External" Id="rId373"/><Relationship Type="http://schemas.openxmlformats.org/officeDocument/2006/relationships/hyperlink" Target="https://x.com/stevewilldoit/status/2104230945478045845" TargetMode="External" Id="rId374"/><Relationship Type="http://schemas.openxmlformats.org/officeDocument/2006/relationships/hyperlink" Target="https://x.com/BookitWithTrent/status/2104243901032813047" TargetMode="External" Id="rId375"/><Relationship Type="http://schemas.openxmlformats.org/officeDocument/2006/relationships/hyperlink" Target="https://x.com/stevewilldoit/status/2104268235315216490" TargetMode="External" Id="rId376"/><Relationship Type="http://schemas.openxmlformats.org/officeDocument/2006/relationships/hyperlink" Target="https://x.com/BookitWithTrent/status/2104283866437685626" TargetMode="External" Id="rId377"/><Relationship Type="http://schemas.openxmlformats.org/officeDocument/2006/relationships/hyperlink" Target="https://x.com/BookitWithTrent/status/2104325324607775125" TargetMode="External" Id="rId378"/><Relationship Type="http://schemas.openxmlformats.org/officeDocument/2006/relationships/hyperlink" Target="https://x.com/BookitWithTrent/status/2104335812842434904" TargetMode="External" Id="rId379"/><Relationship Type="http://schemas.openxmlformats.org/officeDocument/2006/relationships/hyperlink" Target="https://x.com/stevewilldoit/status/2104358730699772105" TargetMode="External" Id="rId380"/><Relationship Type="http://schemas.openxmlformats.org/officeDocument/2006/relationships/hyperlink" Target="https://x.com/stevewilldoit/status/2104381000339820830" TargetMode="External" Id="rId381"/><Relationship Type="http://schemas.openxmlformats.org/officeDocument/2006/relationships/hyperlink" Target="https://x.com/stevewilldoit/status/2104443000923554136" TargetMode="External" Id="rId382"/><Relationship Type="http://schemas.openxmlformats.org/officeDocument/2006/relationships/hyperlink" Target="https://x.com/stevewilldoit/status/2104611168220495996" TargetMode="External" Id="rId383"/><Relationship Type="http://schemas.openxmlformats.org/officeDocument/2006/relationships/hyperlink" Target="https://x.com/BookitWithTrent/status/2104631676660044109" TargetMode="External" Id="rId384"/><Relationship Type="http://schemas.openxmlformats.org/officeDocument/2006/relationships/hyperlink" Target="https://x.com/BookitWithTrent/status/2104667402491621841" TargetMode="External" Id="rId385"/><Relationship Type="http://schemas.openxmlformats.org/officeDocument/2006/relationships/hyperlink" Target="https://x.com/stevewilldoit/status/2104691803676950945" TargetMode="External" Id="rId386"/><Relationship Type="http://schemas.openxmlformats.org/officeDocument/2006/relationships/hyperlink" Target="https://x.com/stevewilldoit/status/2104716618538356972" TargetMode="External" Id="rId387"/><Relationship Type="http://schemas.openxmlformats.org/officeDocument/2006/relationships/hyperlink" Target="https://x.com/BookitWithTrent/status/2104793436196872222" TargetMode="External" Id="rId388"/><Relationship Type="http://schemas.openxmlformats.org/officeDocument/2006/relationships/hyperlink" Target="https://x.com/BookitWithTrent/status/2104947028912427162" TargetMode="External" Id="rId389"/><Relationship Type="http://schemas.openxmlformats.org/officeDocument/2006/relationships/hyperlink" Target="https://x.com/stevewilldoit/status/2104971358492844135" TargetMode="External" Id="rId390"/><Relationship Type="http://schemas.openxmlformats.org/officeDocument/2006/relationships/hyperlink" Target="https://x.com/stevewilldoit/status/2104973150349824448" TargetMode="External" Id="rId391"/><Relationship Type="http://schemas.openxmlformats.org/officeDocument/2006/relationships/hyperlink" Target="https://x.com/stevewilldoit/status/2104973150349824448" TargetMode="External" Id="rId392"/><Relationship Type="http://schemas.openxmlformats.org/officeDocument/2006/relationships/hyperlink" Target="https://x.com/BookitWithTrent/status/2104984918551855383" TargetMode="External" Id="rId393"/><Relationship Type="http://schemas.openxmlformats.org/officeDocument/2006/relationships/hyperlink" Target="https://x.com/BookitWithTrent/status/2104984918551855383" TargetMode="External" Id="rId394"/><Relationship Type="http://schemas.openxmlformats.org/officeDocument/2006/relationships/hyperlink" Target="https://x.com/BookitWithTrent/status/2104984918551855383" TargetMode="External" Id="rId395"/><Relationship Type="http://schemas.openxmlformats.org/officeDocument/2006/relationships/hyperlink" Target="https://x.com/BookitWithTrent/status/2104984918551855383" TargetMode="External" Id="rId396"/><Relationship Type="http://schemas.openxmlformats.org/officeDocument/2006/relationships/hyperlink" Target="https://x.com/BookitWithTrent/status/2104984918551855383" TargetMode="External" Id="rId397"/><Relationship Type="http://schemas.openxmlformats.org/officeDocument/2006/relationships/hyperlink" Target="https://x.com/stevewilldoit/status/2105044810616725589" TargetMode="External" Id="rId398"/><Relationship Type="http://schemas.openxmlformats.org/officeDocument/2006/relationships/hyperlink" Target="https://x.com/stevewilldoit/status/2105071427934453980" TargetMode="External" Id="rId399"/><Relationship Type="http://schemas.openxmlformats.org/officeDocument/2006/relationships/hyperlink" Target="https://x.com/stevewilldoit/status/2105071596570595777" TargetMode="External" Id="rId400"/><Relationship Type="http://schemas.openxmlformats.org/officeDocument/2006/relationships/hyperlink" Target="https://x.com/stevewilldoit/status/2105071596570595777" TargetMode="External" Id="rId401"/><Relationship Type="http://schemas.openxmlformats.org/officeDocument/2006/relationships/hyperlink" Target="https://x.com/stevewilldoit/status/2105078376503394618" TargetMode="External" Id="rId402"/><Relationship Type="http://schemas.openxmlformats.org/officeDocument/2006/relationships/hyperlink" Target="https://x.com/stevewilldoit/status/2105078802598822296" TargetMode="External" Id="rId403"/><Relationship Type="http://schemas.openxmlformats.org/officeDocument/2006/relationships/hyperlink" Target="https://x.com/BookitWithTrent/status/2105318924061728830" TargetMode="External" Id="rId404"/><Relationship Type="http://schemas.openxmlformats.org/officeDocument/2006/relationships/hyperlink" Target="https://x.com/BookitWithTrent/status/2105318924061728830" TargetMode="External" Id="rId405"/><Relationship Type="http://schemas.openxmlformats.org/officeDocument/2006/relationships/hyperlink" Target="https://x.com/BookitWithTrent/status/2105318924061728830" TargetMode="External" Id="rId406"/><Relationship Type="http://schemas.openxmlformats.org/officeDocument/2006/relationships/hyperlink" Target="https://x.com/BookitWithTrent/status/2105318924061728830" TargetMode="External" Id="rId407"/><Relationship Type="http://schemas.openxmlformats.org/officeDocument/2006/relationships/hyperlink" Target="https://x.com/BookitWithTrent/status/2105318924061728830" TargetMode="External" Id="rId408"/><Relationship Type="http://schemas.openxmlformats.org/officeDocument/2006/relationships/hyperlink" Target="https://x.com/BookitWithTrent/status/2105326960767365557" TargetMode="External" Id="rId409"/><Relationship Type="http://schemas.openxmlformats.org/officeDocument/2006/relationships/hyperlink" Target="https://x.com/stevewilldoit/status/2105336484400431416" TargetMode="External" Id="rId410"/><Relationship Type="http://schemas.openxmlformats.org/officeDocument/2006/relationships/hyperlink" Target="https://x.com/stevewilldoit/status/2105341083920339019" TargetMode="External" Id="rId411"/><Relationship Type="http://schemas.openxmlformats.org/officeDocument/2006/relationships/hyperlink" Target="https://x.com/stevewilldoit/status/2105341083920339019" TargetMode="External" Id="rId412"/><Relationship Type="http://schemas.openxmlformats.org/officeDocument/2006/relationships/hyperlink" Target="https://x.com/stevewilldoit/status/2105341083920339019" TargetMode="External" Id="rId413"/><Relationship Type="http://schemas.openxmlformats.org/officeDocument/2006/relationships/hyperlink" Target="https://x.com/stevewilldoit/status/2105410951822663794" TargetMode="External" Id="rId414"/><Relationship Type="http://schemas.openxmlformats.org/officeDocument/2006/relationships/hyperlink" Target="https://x.com/stevewilldoit/status/2105414010892169535" TargetMode="External" Id="rId415"/><Relationship Type="http://schemas.openxmlformats.org/officeDocument/2006/relationships/hyperlink" Target="https://x.com/stevewilldoit/status/2105414526128861593" TargetMode="External" Id="rId416"/><Relationship Type="http://schemas.openxmlformats.org/officeDocument/2006/relationships/hyperlink" Target="https://x.com/stevewilldoit/status/2105427170915172731" TargetMode="External" Id="rId417"/><Relationship Type="http://schemas.openxmlformats.org/officeDocument/2006/relationships/hyperlink" Target="https://x.com/BookitWithTrent/status/2105430049558073515" TargetMode="External" Id="rId418"/><Relationship Type="http://schemas.openxmlformats.org/officeDocument/2006/relationships/hyperlink" Target="https://x.com/BookitWithTrent/status/2105667522007855115" TargetMode="External" Id="rId419"/><Relationship Type="http://schemas.openxmlformats.org/officeDocument/2006/relationships/hyperlink" Target="https://x.com/BookitWithTrent/status/2105682209835569575" TargetMode="External" Id="rId420"/><Relationship Type="http://schemas.openxmlformats.org/officeDocument/2006/relationships/hyperlink" Target="https://x.com/BookitWithTrent/status/2105709877280600351" TargetMode="External" Id="rId421"/><Relationship Type="http://schemas.openxmlformats.org/officeDocument/2006/relationships/hyperlink" Target="https://x.com/BookitWithTrent/status/2105741704578105786" TargetMode="External" Id="rId422"/><Relationship Type="http://schemas.openxmlformats.org/officeDocument/2006/relationships/hyperlink" Target="https://x.com/stevewilldoit/status/2105815381411762439" TargetMode="External" Id="rId423"/><Relationship Type="http://schemas.openxmlformats.org/officeDocument/2006/relationships/hyperlink" Target="https://x.com/stevewilldoit/status/2105817159322734619" TargetMode="External" Id="rId424"/><Relationship Type="http://schemas.openxmlformats.org/officeDocument/2006/relationships/hyperlink" Target="https://x.com/stevewilldoit/status/2106042084746498146" TargetMode="External" Id="rId425"/><Relationship Type="http://schemas.openxmlformats.org/officeDocument/2006/relationships/hyperlink" Target="https://x.com/BookitWithTrent/status/2106048481919996116" TargetMode="External" Id="rId426"/><Relationship Type="http://schemas.openxmlformats.org/officeDocument/2006/relationships/hyperlink" Target="https://x.com/BookitWithTrent/status/2106048481919996116" TargetMode="External" Id="rId427"/><Relationship Type="http://schemas.openxmlformats.org/officeDocument/2006/relationships/hyperlink" Target="https://x.com/stevewilldoit/status/2106191241406828604" TargetMode="External" Id="rId428"/><Relationship Type="http://schemas.openxmlformats.org/officeDocument/2006/relationships/hyperlink" Target="https://x.com/stevewilldoit/status/2106217475406725143" TargetMode="External" Id="rId429"/><Relationship Type="http://schemas.openxmlformats.org/officeDocument/2006/relationships/hyperlink" Target="https://x.com/BookitWithTrent/status/2106388474202824923" TargetMode="External" Id="rId430"/><Relationship Type="http://schemas.openxmlformats.org/officeDocument/2006/relationships/hyperlink" Target="https://x.com/BookitWithTrent/status/2106392386628694445" TargetMode="External" Id="rId431"/><Relationship Type="http://schemas.openxmlformats.org/officeDocument/2006/relationships/hyperlink" Target="https://x.com/stevewilldoit/status/2106404322833572313" TargetMode="External" Id="rId432"/><Relationship Type="http://schemas.openxmlformats.org/officeDocument/2006/relationships/hyperlink" Target="https://x.com/stevewilldoit/status/2106404322833572313" TargetMode="External" Id="rId433"/><Relationship Type="http://schemas.openxmlformats.org/officeDocument/2006/relationships/hyperlink" Target="https://x.com/stevewilldoit/status/2106521497665994863" TargetMode="External" Id="rId434"/><Relationship Type="http://schemas.openxmlformats.org/officeDocument/2006/relationships/hyperlink" Target="https://x.com/stevewilldoit/status/2106530295784808722" TargetMode="External" Id="rId435"/><Relationship Type="http://schemas.openxmlformats.org/officeDocument/2006/relationships/hyperlink" Target="https://x.com/stevewilldoit/status/2106679078241567192" TargetMode="External" Id="rId436"/><Relationship Type="http://schemas.openxmlformats.org/officeDocument/2006/relationships/hyperlink" Target="https://x.com/BookitWithTrent/status/2106681952627548178" TargetMode="External" Id="rId437"/><Relationship Type="http://schemas.openxmlformats.org/officeDocument/2006/relationships/hyperlink" Target="https://x.com/stevewilldoit/status/2106686047728074963" TargetMode="External" Id="rId438"/><Relationship Type="http://schemas.openxmlformats.org/officeDocument/2006/relationships/hyperlink" Target="https://x.com/BookitWithTrent/status/2106699884334039321" TargetMode="External" Id="rId439"/><Relationship Type="http://schemas.openxmlformats.org/officeDocument/2006/relationships/hyperlink" Target="https://x.com/BookitWithTrent/status/2106713637150671239" TargetMode="External" Id="rId440"/><Relationship Type="http://schemas.openxmlformats.org/officeDocument/2006/relationships/hyperlink" Target="https://x.com/BookitWithTrent/status/2106714605472862245" TargetMode="External" Id="rId441"/><Relationship Type="http://schemas.openxmlformats.org/officeDocument/2006/relationships/hyperlink" Target="https://x.com/stevewilldoit/status/2106756218165559694" TargetMode="External" Id="rId442"/><Relationship Type="http://schemas.openxmlformats.org/officeDocument/2006/relationships/hyperlink" Target="https://x.com/stevewilldoit/status/2106756218165559694" TargetMode="External" Id="rId443"/><Relationship Type="http://schemas.openxmlformats.org/officeDocument/2006/relationships/hyperlink" Target="https://x.com/stevewilldoit/status/2106756218165559694" TargetMode="External" Id="rId444"/><Relationship Type="http://schemas.openxmlformats.org/officeDocument/2006/relationships/hyperlink" Target="https://x.com/stevewilldoit/status/2106756218165559694" TargetMode="External" Id="rId445"/><Relationship Type="http://schemas.openxmlformats.org/officeDocument/2006/relationships/hyperlink" Target="https://x.com/stevewilldoit/status/2106783396676415881" TargetMode="External" Id="rId446"/><Relationship Type="http://schemas.openxmlformats.org/officeDocument/2006/relationships/hyperlink" Target="https://x.com/stevewilldoit/status/2106783396676415881" TargetMode="External" Id="rId447"/><Relationship Type="http://schemas.openxmlformats.org/officeDocument/2006/relationships/hyperlink" Target="https://x.com/stevewilldoit/status/2106788772524523899" TargetMode="External" Id="rId448"/><Relationship Type="http://schemas.openxmlformats.org/officeDocument/2006/relationships/hyperlink" Target="https://x.com/stevewilldoit/status/2106788772524523899" TargetMode="External" Id="rId449"/><Relationship Type="http://schemas.openxmlformats.org/officeDocument/2006/relationships/hyperlink" Target="https://x.com/stevewilldoit/status/2106788772524523899" TargetMode="External" Id="rId450"/><Relationship Type="http://schemas.openxmlformats.org/officeDocument/2006/relationships/hyperlink" Target="https://x.com/BookitWithTrent/status/2106790563072622614" TargetMode="External" Id="rId451"/><Relationship Type="http://schemas.openxmlformats.org/officeDocument/2006/relationships/hyperlink" Target="https://x.com/stevewilldoit/status/2106817745845444918" TargetMode="External" Id="rId452"/><Relationship Type="http://schemas.openxmlformats.org/officeDocument/2006/relationships/hyperlink" Target="https://x.com/BookitWithTrent/status/2106826372911931610" TargetMode="External" Id="rId453"/><Relationship Type="http://schemas.openxmlformats.org/officeDocument/2006/relationships/hyperlink" Target="https://x.com/stevewilldoit/status/2106842885773488549" TargetMode="External" Id="rId454"/><Relationship Type="http://schemas.openxmlformats.org/officeDocument/2006/relationships/hyperlink" Target="https://x.com/stevewilldoit/status/2106842885773488549" TargetMode="External" Id="rId455"/><Relationship Type="http://schemas.openxmlformats.org/officeDocument/2006/relationships/hyperlink" Target="https://x.com/BookitWithTrent/status/2106882250977780169" TargetMode="External" Id="rId456"/><Relationship Type="http://schemas.openxmlformats.org/officeDocument/2006/relationships/hyperlink" Target="https://x.com/BookitWithTrent/status/2106883766266298839" TargetMode="External" Id="rId457"/><Relationship Type="http://schemas.openxmlformats.org/officeDocument/2006/relationships/hyperlink" Target="https://x.com/stevewilldoit/status/2106888998107148659" TargetMode="External" Id="rId458"/><Relationship Type="http://schemas.openxmlformats.org/officeDocument/2006/relationships/hyperlink" Target="https://x.com/stevewilldoit/status/2106901338332237942" TargetMode="External" Id="rId459"/><Relationship Type="http://schemas.openxmlformats.org/officeDocument/2006/relationships/hyperlink" Target="https://x.com/stevewilldoit/status/2106901338332237942" TargetMode="External" Id="rId460"/><Relationship Type="http://schemas.openxmlformats.org/officeDocument/2006/relationships/hyperlink" Target="https://x.com/stevewilldoit/status/2107114903320600914" TargetMode="External" Id="rId461"/><Relationship Type="http://schemas.openxmlformats.org/officeDocument/2006/relationships/hyperlink" Target="https://x.com/stevewilldoit/status/2107121736395485393" TargetMode="External" Id="rId462"/><Relationship Type="http://schemas.openxmlformats.org/officeDocument/2006/relationships/hyperlink" Target="https://x.com/stevewilldoit/status/2107122336805831039" TargetMode="External" Id="rId463"/><Relationship Type="http://schemas.openxmlformats.org/officeDocument/2006/relationships/hyperlink" Target="https://x.com/BookitWithTrent/status/2107160767888068729" TargetMode="External" Id="rId464"/><Relationship Type="http://schemas.openxmlformats.org/officeDocument/2006/relationships/hyperlink" Target="https://x.com/stevewilldoit/status/2107190993393012747" TargetMode="External" Id="rId465"/><Relationship Type="http://schemas.openxmlformats.org/officeDocument/2006/relationships/hyperlink" Target="https://x.com/stevewilldoit/status/2107190993393012747" TargetMode="External" Id="rId466"/><Relationship Type="http://schemas.openxmlformats.org/officeDocument/2006/relationships/hyperlink" Target="https://x.com/BookitWithTrent/status/2107202174497198363" TargetMode="External" Id="rId467"/><Relationship Type="http://schemas.openxmlformats.org/officeDocument/2006/relationships/hyperlink" Target="https://x.com/BookitWithTrent/status/2107203509871403517" TargetMode="External" Id="rId468"/><Relationship Type="http://schemas.openxmlformats.org/officeDocument/2006/relationships/hyperlink" Target="https://x.com/BookitWithTrent/status/2107203509871403517" TargetMode="External" Id="rId469"/><Relationship Type="http://schemas.openxmlformats.org/officeDocument/2006/relationships/hyperlink" Target="https://x.com/BookitWithTrent/status/2107209978486423586" TargetMode="External" Id="rId470"/><Relationship Type="http://schemas.openxmlformats.org/officeDocument/2006/relationships/hyperlink" Target="https://x.com/BookitWithTrent/status/2107216631982100901" TargetMode="External" Id="rId471"/><Relationship Type="http://schemas.openxmlformats.org/officeDocument/2006/relationships/hyperlink" Target="https://x.com/BookitWithTrent/status/2107242515942592936" TargetMode="External" Id="rId472"/><Relationship Type="http://schemas.openxmlformats.org/officeDocument/2006/relationships/hyperlink" Target="https://x.com/BookitWithTrent/status/2107563609509281948" TargetMode="External" Id="rId473"/><Relationship Type="http://schemas.openxmlformats.org/officeDocument/2006/relationships/hyperlink" Target="https://x.com/BookitWithTrent/status/2107563609509281948" TargetMode="External" Id="rId474"/><Relationship Type="http://schemas.openxmlformats.org/officeDocument/2006/relationships/hyperlink" Target="https://x.com/BookitWithTrent/status/2107563609509281948" TargetMode="External" Id="rId475"/><Relationship Type="http://schemas.openxmlformats.org/officeDocument/2006/relationships/hyperlink" Target="https://x.com/BookitWithTrent/status/2107563609509281948" TargetMode="External" Id="rId476"/><Relationship Type="http://schemas.openxmlformats.org/officeDocument/2006/relationships/hyperlink" Target="https://x.com/BookitWithTrent/status/2107563609509281948" TargetMode="External" Id="rId477"/><Relationship Type="http://schemas.openxmlformats.org/officeDocument/2006/relationships/hyperlink" Target="https://x.com/stevewilldoit/status/2107583529940865148" TargetMode="External" Id="rId478"/><Relationship Type="http://schemas.openxmlformats.org/officeDocument/2006/relationships/hyperlink" Target="https://x.com/stevewilldoit/status/2107587360317956125" TargetMode="External" Id="rId479"/><Relationship Type="http://schemas.openxmlformats.org/officeDocument/2006/relationships/hyperlink" Target="https://x.com/stevewilldoit/status/2107587360317956125" TargetMode="External" Id="rId480"/><Relationship Type="http://schemas.openxmlformats.org/officeDocument/2006/relationships/hyperlink" Target="https://x.com/BookitWithTrent/status/2107618004414480825" TargetMode="External" Id="rId481"/><Relationship Type="http://schemas.openxmlformats.org/officeDocument/2006/relationships/hyperlink" Target="https://x.com/BookitWithTrent/status/2107618004414480825" TargetMode="External" Id="rId482"/><Relationship Type="http://schemas.openxmlformats.org/officeDocument/2006/relationships/hyperlink" Target="https://x.com/BookitWithTrent/status/2107618004414480825" TargetMode="External" Id="rId483"/><Relationship Type="http://schemas.openxmlformats.org/officeDocument/2006/relationships/hyperlink" Target="https://x.com/stevewilldoit/status/2107856906266017949" TargetMode="External" Id="rId484"/><Relationship Type="http://schemas.openxmlformats.org/officeDocument/2006/relationships/hyperlink" Target="https://x.com/stevewilldoit/status/2107857419250672061" TargetMode="External" Id="rId485"/><Relationship Type="http://schemas.openxmlformats.org/officeDocument/2006/relationships/hyperlink" Target="https://x.com/BookitWithTrent/status/2107868183524728964" TargetMode="External" Id="rId486"/><Relationship Type="http://schemas.openxmlformats.org/officeDocument/2006/relationships/hyperlink" Target="https://x.com/BookitWithTrent/status/2107868183524728964" TargetMode="External" Id="rId487"/><Relationship Type="http://schemas.openxmlformats.org/officeDocument/2006/relationships/hyperlink" Target="https://x.com/BookitWithTrent/status/2107868183524728964" TargetMode="External" Id="rId488"/><Relationship Type="http://schemas.openxmlformats.org/officeDocument/2006/relationships/hyperlink" Target="https://x.com/BookitWithTrent/status/2107868183524728964" TargetMode="External" Id="rId489"/><Relationship Type="http://schemas.openxmlformats.org/officeDocument/2006/relationships/hyperlink" Target="https://x.com/stevewilldoit/status/2107868184187744495" TargetMode="External" Id="rId490"/><Relationship Type="http://schemas.openxmlformats.org/officeDocument/2006/relationships/hyperlink" Target="https://x.com/stevewilldoit/status/2107868184187744495" TargetMode="External" Id="rId491"/><Relationship Type="http://schemas.openxmlformats.org/officeDocument/2006/relationships/hyperlink" Target="https://x.com/stevewilldoit/status/2107896479033577587" TargetMode="External" Id="rId492"/><Relationship Type="http://schemas.openxmlformats.org/officeDocument/2006/relationships/hyperlink" Target="https://x.com/stevewilldoit/status/2107963972154499561" TargetMode="External" Id="rId493"/><Relationship Type="http://schemas.openxmlformats.org/officeDocument/2006/relationships/hyperlink" Target="https://x.com/stevewilldoit/status/2107998429695918405" TargetMode="External" Id="rId494"/><Relationship Type="http://schemas.openxmlformats.org/officeDocument/2006/relationships/hyperlink" Target="https://x.com/stevewilldoit/status/2108207839705731287" TargetMode="External" Id="rId495"/><Relationship Type="http://schemas.openxmlformats.org/officeDocument/2006/relationships/hyperlink" Target="https://x.com/stevewilldoit/status/2108213948444971229" TargetMode="External" Id="rId496"/><Relationship Type="http://schemas.openxmlformats.org/officeDocument/2006/relationships/hyperlink" Target="https://x.com/BookitWithTrent/status/2108251631456309756" TargetMode="External" Id="rId497"/><Relationship Type="http://schemas.openxmlformats.org/officeDocument/2006/relationships/hyperlink" Target="https://x.com/BookitWithTrent/status/2108273619486781661" TargetMode="External" Id="rId498"/><Relationship Type="http://schemas.openxmlformats.org/officeDocument/2006/relationships/hyperlink" Target="https://x.com/BookitWithTrent/status/2108278699955208256" TargetMode="External" Id="rId499"/><Relationship Type="http://schemas.openxmlformats.org/officeDocument/2006/relationships/hyperlink" Target="https://x.com/BookitWithTrent/status/2108288580351386078" TargetMode="External" Id="rId500"/><Relationship Type="http://schemas.openxmlformats.org/officeDocument/2006/relationships/hyperlink" Target="https://x.com/stevewilldoit/status/2108386880542613578" TargetMode="External" Id="rId501"/><Relationship Type="http://schemas.openxmlformats.org/officeDocument/2006/relationships/hyperlink" Target="https://x.com/stevewilldoit/status/2108621969914724699" TargetMode="External" Id="rId502"/><Relationship Type="http://schemas.openxmlformats.org/officeDocument/2006/relationships/hyperlink" Target="https://x.com/BookitWithTrent/status/2108674064533606721" TargetMode="External" Id="rId503"/><Relationship Type="http://schemas.openxmlformats.org/officeDocument/2006/relationships/hyperlink" Target="https://x.com/BookitWithTrent/status/2108674064533606721" TargetMode="External" Id="rId504"/><Relationship Type="http://schemas.openxmlformats.org/officeDocument/2006/relationships/hyperlink" Target="https://x.com/BookitWithTrent/status/2108674064533606721" TargetMode="External" Id="rId50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9" customWidth="1" min="3" max="3"/>
    <col width="12" customWidth="1" min="4" max="4"/>
    <col width="11" customWidth="1" min="5" max="5"/>
    <col width="12" customWidth="1" min="6" max="6"/>
    <col width="11" customWidth="1" min="7" max="7"/>
    <col width="9" customWidth="1" min="8" max="8"/>
    <col width="18" customWidth="1" min="9" max="9"/>
    <col width="10" customWidth="1" min="10" max="10"/>
    <col width="18" customWidth="1" min="11" max="11"/>
    <col width="14" customWidth="1" min="12" max="12"/>
    <col width="60" customWidth="1" min="13" max="13"/>
    <col width="7" customWidth="1" min="14" max="14"/>
    <col width="11" customWidth="1" min="15" max="15"/>
    <col width="9" customWidth="1" min="16" max="16"/>
    <col width="13" customWidth="1" min="17" max="17"/>
    <col width="7" customWidth="1" min="18" max="18"/>
    <col width="15" customWidth="1" min="19" max="19"/>
    <col width="16" customWidth="1" min="20" max="20"/>
    <col width="9" customWidth="1" min="21" max="21"/>
    <col width="14" customWidth="1" min="22" max="22"/>
    <col width="10" customWidth="1" min="23" max="23"/>
    <col width="16" customWidth="1" min="24" max="24"/>
    <col width="24" customWidth="1" min="25" max="25"/>
    <col width="30" customWidth="1" min="26" max="26"/>
    <col width="60" customWidth="1" min="27" max="27"/>
    <col width="14" customWidth="1" min="28" max="28"/>
    <col width="12" customWidth="1" min="29" max="29"/>
    <col width="10" customWidth="1" min="30" max="30"/>
  </cols>
  <sheetData>
    <row r="1">
      <c r="A1" s="1" t="inlineStr">
        <is>
          <t>Bet ID</t>
        </is>
      </c>
      <c r="B1" s="1" t="inlineStr">
        <is>
          <t>Bettor</t>
        </is>
      </c>
      <c r="C1" s="1" t="inlineStr">
        <is>
          <t>Date posted (CT)</t>
        </is>
      </c>
      <c r="D1" s="1" t="inlineStr">
        <is>
          <t>Day of week (posted)</t>
        </is>
      </c>
      <c r="E1" s="1" t="inlineStr">
        <is>
          <t>Game date</t>
        </is>
      </c>
      <c r="F1" s="1" t="inlineStr">
        <is>
          <t>Game day of week</t>
        </is>
      </c>
      <c r="G1" s="1" t="inlineStr">
        <is>
          <t>Game kickoff time (ET)</t>
        </is>
      </c>
      <c r="H1" s="1" t="inlineStr">
        <is>
          <t>Prime time (Y/N)</t>
        </is>
      </c>
      <c r="I1" s="1" t="inlineStr">
        <is>
          <t>Prime time slot</t>
        </is>
      </c>
      <c r="J1" s="1" t="inlineStr">
        <is>
          <t>Sport category</t>
        </is>
      </c>
      <c r="K1" s="1" t="inlineStr">
        <is>
          <t>League/event</t>
        </is>
      </c>
      <c r="L1" s="1" t="inlineStr">
        <is>
          <t>Bet type</t>
        </is>
      </c>
      <c r="M1" s="1" t="inlineStr">
        <is>
          <t>Selection/legs</t>
        </is>
      </c>
      <c r="N1" s="1" t="inlineStr">
        <is>
          <t># legs</t>
        </is>
      </c>
      <c r="O1" s="1" t="inlineStr">
        <is>
          <t>Odds (American)</t>
        </is>
      </c>
      <c r="P1" s="1" t="inlineStr">
        <is>
          <t>Odds (decimal)</t>
        </is>
      </c>
      <c r="Q1" s="1" t="inlineStr">
        <is>
          <t>Stake $</t>
        </is>
      </c>
      <c r="R1" s="1" t="inlineStr">
        <is>
          <t>Units</t>
        </is>
      </c>
      <c r="S1" s="1" t="inlineStr">
        <is>
          <t>To win/payout $ (total return)</t>
        </is>
      </c>
      <c r="T1" s="1" t="inlineStr">
        <is>
          <t>Book/platform</t>
        </is>
      </c>
      <c r="U1" s="1" t="inlineStr">
        <is>
          <t>Result</t>
        </is>
      </c>
      <c r="V1" s="1" t="inlineStr">
        <is>
          <t>Profit/Loss $</t>
        </is>
      </c>
      <c r="W1" s="1" t="inlineStr">
        <is>
          <t>Profit/Loss units</t>
        </is>
      </c>
      <c r="X1" s="1" t="inlineStr">
        <is>
          <t>Result source</t>
        </is>
      </c>
      <c r="Y1" s="1" t="inlineStr">
        <is>
          <t>Sponsored/promo flag</t>
        </is>
      </c>
      <c r="Z1" s="1" t="inlineStr">
        <is>
          <t>Post URL</t>
        </is>
      </c>
      <c r="AA1" s="1" t="inlineStr">
        <is>
          <t>Notes</t>
        </is>
      </c>
      <c r="AB1" s="1" t="inlineStr">
        <is>
          <t>Single vs parlay</t>
        </is>
      </c>
      <c r="AC1" s="1" t="inlineStr">
        <is>
          <t>Settled $ stake (helper)</t>
        </is>
      </c>
      <c r="AD1" s="1" t="inlineStr">
        <is>
          <t>Settled units (helper)</t>
        </is>
      </c>
    </row>
    <row r="2">
      <c r="A2" t="inlineStr">
        <is>
          <t>T-578065</t>
        </is>
      </c>
      <c r="B2" t="inlineStr">
        <is>
          <t>Trent</t>
        </is>
      </c>
      <c r="C2" s="2" t="n">
        <v>46235.52229166667</v>
      </c>
      <c r="D2">
        <f>IF(C2="","",TEXT(C2,"dddd"))</f>
        <v/>
      </c>
      <c r="E2" s="3" t="n">
        <v>46235</v>
      </c>
      <c r="F2">
        <f>IF(E2="","",TEXT(E2,"dddd"))</f>
        <v/>
      </c>
      <c r="G2" t="inlineStr">
        <is>
          <t>9:38 PM</t>
        </is>
      </c>
      <c r="H2" t="inlineStr">
        <is>
          <t>N</t>
        </is>
      </c>
      <c r="I2" t="inlineStr"/>
      <c r="J2" t="inlineStr">
        <is>
          <t>MLB</t>
        </is>
      </c>
      <c r="K2" t="inlineStr">
        <is>
          <t>MLB</t>
        </is>
      </c>
      <c r="L2" t="inlineStr">
        <is>
          <t>parlay</t>
        </is>
      </c>
      <c r="M2" t="inlineStr">
        <is>
          <t>TB ML -160; PHI ML -138; LAD ML -156; MIL ML -112</t>
        </is>
      </c>
      <c r="N2" t="n">
        <v>4</v>
      </c>
      <c r="O2" t="inlineStr">
        <is>
          <t>+770</t>
        </is>
      </c>
      <c r="P2" s="4" t="n">
        <v>8.699999999999999</v>
      </c>
      <c r="Q2" s="5" t="n">
        <v>1000</v>
      </c>
      <c r="R2" t="inlineStr"/>
      <c r="S2" s="5" t="n">
        <v>7700</v>
      </c>
      <c r="T2" t="inlineStr">
        <is>
          <t>Pikkit</t>
        </is>
      </c>
      <c r="U2" t="inlineStr">
        <is>
          <t>L</t>
        </is>
      </c>
      <c r="V2" s="5">
        <f>IF(NOT(ISNUMBER(Q2)),"",IF(U2="W",IF(ISNUMBER(S2),S2-Q2,IF(ISNUMBER(P2),Q2*(P2-1),"")),IF(U2="L",-Q2,IF(U2="Push",0,""))))</f>
        <v/>
      </c>
      <c r="W2">
        <f>IF(NOT(ISNUMBER(R2)),"",IF(U2="W",IF(ISNUMBER(P2),R2*(P2-1),""),IF(U2="L",-R2,IF(U2="Push",0,""))))</f>
        <v/>
      </c>
      <c r="X2" t="inlineStr">
        <is>
          <t>graded from final</t>
        </is>
      </c>
      <c r="Y2" t="inlineStr">
        <is>
          <t>N</t>
        </is>
      </c>
      <c r="Z2" t="inlineStr">
        <is>
          <t>https://x.com/BookitWithTrent/status/2083606714033578065</t>
        </is>
      </c>
      <c r="AA2" t="inlineStr">
        <is>
          <t>"Last Chance U slip"</t>
        </is>
      </c>
      <c r="AB2" t="inlineStr">
        <is>
          <t>Parlay/multi-leg</t>
        </is>
      </c>
      <c r="AC2" s="5">
        <f>IF(ISNUMBER(V2),Q2,"")</f>
        <v/>
      </c>
      <c r="AD2">
        <f>IF(ISNUMBER(W2),R2,"")</f>
        <v/>
      </c>
    </row>
    <row r="3">
      <c r="A3" t="inlineStr">
        <is>
          <t>T-134103</t>
        </is>
      </c>
      <c r="B3" t="inlineStr">
        <is>
          <t>Trent</t>
        </is>
      </c>
      <c r="C3" s="2" t="n">
        <v>46236.50771990741</v>
      </c>
      <c r="D3">
        <f>IF(C3="","",TEXT(C3,"dddd"))</f>
        <v/>
      </c>
      <c r="E3" s="3" t="n">
        <v>46236</v>
      </c>
      <c r="F3">
        <f>IF(E3="","",TEXT(E3,"dddd"))</f>
        <v/>
      </c>
      <c r="G3" t="inlineStr">
        <is>
          <t>not matched</t>
        </is>
      </c>
      <c r="H3" t="inlineStr">
        <is>
          <t>N</t>
        </is>
      </c>
      <c r="I3" t="inlineStr"/>
      <c r="J3" t="inlineStr">
        <is>
          <t>Other</t>
        </is>
      </c>
      <c r="K3" t="inlineStr">
        <is>
          <t>PLL Lacrosse</t>
        </is>
      </c>
      <c r="L3" t="inlineStr">
        <is>
          <t>ML</t>
        </is>
      </c>
      <c r="M3" t="inlineStr">
        <is>
          <t>New York Atlas ML</t>
        </is>
      </c>
      <c r="N3" t="n">
        <v>1</v>
      </c>
      <c r="O3" t="inlineStr">
        <is>
          <t>not shown</t>
        </is>
      </c>
      <c r="P3" s="4" t="inlineStr"/>
      <c r="Q3" s="5" t="inlineStr"/>
      <c r="R3" t="inlineStr">
        <is>
          <t>not shown</t>
        </is>
      </c>
      <c r="S3" s="5" t="inlineStr"/>
      <c r="T3" t="inlineStr">
        <is>
          <t>not shown</t>
        </is>
      </c>
      <c r="U3" t="inlineStr">
        <is>
          <t>Unknown</t>
        </is>
      </c>
      <c r="V3" s="5">
        <f>IF(NOT(ISNUMBER(Q3)),"",IF(U3="W",IF(ISNUMBER(S3),S3-Q3,IF(ISNUMBER(P3),Q3*(P3-1),"")),IF(U3="L",-Q3,IF(U3="Push",0,""))))</f>
        <v/>
      </c>
      <c r="W3">
        <f>IF(NOT(ISNUMBER(R3)),"",IF(U3="W",IF(ISNUMBER(P3),R3*(P3-1),""),IF(U3="L",-R3,IF(U3="Push",0,""))))</f>
        <v/>
      </c>
      <c r="X3" t="inlineStr">
        <is>
          <t>unverified</t>
        </is>
      </c>
      <c r="Y3" t="inlineStr">
        <is>
          <t>N</t>
        </is>
      </c>
      <c r="Z3" t="inlineStr">
        <is>
          <t>https://x.com/BookitWithTrent/status/2083963819387134103</t>
        </is>
      </c>
      <c r="AA3" t="inlineStr">
        <is>
          <t>"Mortal mega" (unit size not stated); Game date assumed = post date (CT)</t>
        </is>
      </c>
      <c r="AB3" t="inlineStr">
        <is>
          <t>Single</t>
        </is>
      </c>
      <c r="AC3" s="5">
        <f>IF(ISNUMBER(V3),Q3,"")</f>
        <v/>
      </c>
      <c r="AD3">
        <f>IF(ISNUMBER(W3),R3,"")</f>
        <v/>
      </c>
    </row>
    <row r="4">
      <c r="A4" t="inlineStr">
        <is>
          <t>T-418015</t>
        </is>
      </c>
      <c r="B4" t="inlineStr">
        <is>
          <t>Trent</t>
        </is>
      </c>
      <c r="C4" s="2" t="n">
        <v>46237.59619212963</v>
      </c>
      <c r="D4">
        <f>IF(C4="","",TEXT(C4,"dddd"))</f>
        <v/>
      </c>
      <c r="E4" s="3" t="n">
        <v>46237</v>
      </c>
      <c r="F4">
        <f>IF(E4="","",TEXT(E4,"dddd"))</f>
        <v/>
      </c>
      <c r="G4" t="inlineStr">
        <is>
          <t>not matched</t>
        </is>
      </c>
      <c r="H4" t="inlineStr">
        <is>
          <t>N</t>
        </is>
      </c>
      <c r="I4" t="inlineStr"/>
      <c r="J4" t="inlineStr">
        <is>
          <t>MLB</t>
        </is>
      </c>
      <c r="K4" t="inlineStr">
        <is>
          <t>MLB</t>
        </is>
      </c>
      <c r="L4" t="inlineStr">
        <is>
          <t>PrizePicks/DFS</t>
        </is>
      </c>
      <c r="M4" t="inlineStr">
        <is>
          <t>James Wood o7 HFS; Ben Rice o6.5 HFS; Jeremy Pena o7 HFS; Junior Caminero o9.5 HFS</t>
        </is>
      </c>
      <c r="N4" t="n">
        <v>4</v>
      </c>
      <c r="O4" t="inlineStr">
        <is>
          <t>not shown</t>
        </is>
      </c>
      <c r="P4" s="4" t="n">
        <v>10</v>
      </c>
      <c r="Q4" s="5" t="n">
        <v>500</v>
      </c>
      <c r="R4" t="inlineStr"/>
      <c r="S4" s="5" t="n">
        <v>5000</v>
      </c>
      <c r="T4" t="inlineStr">
        <is>
          <t>PrizePicks</t>
        </is>
      </c>
      <c r="U4" t="inlineStr">
        <is>
          <t>L</t>
        </is>
      </c>
      <c r="V4" s="5">
        <f>IF(NOT(ISNUMBER(Q4)),"",IF(U4="W",IF(ISNUMBER(S4),S4-Q4,IF(ISNUMBER(P4),Q4*(P4-1),"")),IF(U4="L",-Q4,IF(U4="Push",0,""))))</f>
        <v/>
      </c>
      <c r="W4">
        <f>IF(NOT(ISNUMBER(R4)),"",IF(U4="W",IF(ISNUMBER(P4),R4*(P4-1),""),IF(U4="L",-R4,IF(U4="Push",0,""))))</f>
        <v/>
      </c>
      <c r="X4" t="inlineStr">
        <is>
          <t>graded from final</t>
        </is>
      </c>
      <c r="Y4" t="inlineStr">
        <is>
          <t>N</t>
        </is>
      </c>
      <c r="Z4" t="inlineStr">
        <is>
          <t>https://x.com/BookitWithTrent/status/2084358270215418015</t>
        </is>
      </c>
      <c r="AA4" t="inlineStr">
        <is>
          <t>4-pick power play; Final: Wood 1 single (3 HFS) &lt; 7; Decimal odds derived from payout/stake</t>
        </is>
      </c>
      <c r="AB4" t="inlineStr">
        <is>
          <t>Parlay/multi-leg</t>
        </is>
      </c>
      <c r="AC4" s="5">
        <f>IF(ISNUMBER(V4),Q4,"")</f>
        <v/>
      </c>
      <c r="AD4">
        <f>IF(ISNUMBER(W4),R4,"")</f>
        <v/>
      </c>
    </row>
    <row r="5">
      <c r="A5" t="inlineStr">
        <is>
          <t>T-128707</t>
        </is>
      </c>
      <c r="B5" t="inlineStr">
        <is>
          <t>Trent</t>
        </is>
      </c>
      <c r="C5" s="2" t="n">
        <v>46237.95163194444</v>
      </c>
      <c r="D5">
        <f>IF(C5="","",TEXT(C5,"dddd"))</f>
        <v/>
      </c>
      <c r="E5" s="3" t="n">
        <v>46237</v>
      </c>
      <c r="F5">
        <f>IF(E5="","",TEXT(E5,"dddd"))</f>
        <v/>
      </c>
      <c r="G5" t="inlineStr">
        <is>
          <t>8:40 PM</t>
        </is>
      </c>
      <c r="H5" t="inlineStr">
        <is>
          <t>N</t>
        </is>
      </c>
      <c r="I5" t="inlineStr"/>
      <c r="J5" t="inlineStr">
        <is>
          <t>MLB</t>
        </is>
      </c>
      <c r="K5" t="inlineStr">
        <is>
          <t>MLB</t>
        </is>
      </c>
      <c r="L5" t="inlineStr">
        <is>
          <t>parlay</t>
        </is>
      </c>
      <c r="M5" t="inlineStr">
        <is>
          <t>Brewers ML; Dodgers ML; Rays ML; Yankees ML</t>
        </is>
      </c>
      <c r="N5" t="n">
        <v>4</v>
      </c>
      <c r="O5" t="inlineStr">
        <is>
          <t>+800</t>
        </is>
      </c>
      <c r="P5" s="4" t="n">
        <v>9</v>
      </c>
      <c r="Q5" s="5" t="n">
        <v>1000</v>
      </c>
      <c r="R5" t="inlineStr"/>
      <c r="S5" s="5" t="n">
        <v>7000</v>
      </c>
      <c r="T5" t="inlineStr">
        <is>
          <t>Pikkit</t>
        </is>
      </c>
      <c r="U5" t="inlineStr">
        <is>
          <t>L</t>
        </is>
      </c>
      <c r="V5" s="5">
        <f>IF(NOT(ISNUMBER(Q5)),"",IF(U5="W",IF(ISNUMBER(S5),S5-Q5,IF(ISNUMBER(P5),Q5*(P5-1),"")),IF(U5="L",-Q5,IF(U5="Push",0,""))))</f>
        <v/>
      </c>
      <c r="W5">
        <f>IF(NOT(ISNUMBER(R5)),"",IF(U5="W",IF(ISNUMBER(P5),R5*(P5-1),""),IF(U5="L",-R5,IF(U5="Push",0,""))))</f>
        <v/>
      </c>
      <c r="X5" t="inlineStr">
        <is>
          <t>posted</t>
        </is>
      </c>
      <c r="Y5" t="inlineStr">
        <is>
          <t>N</t>
        </is>
      </c>
      <c r="Z5" t="inlineStr">
        <is>
          <t>https://x.com/BookitWithTrent/status/2084487077245128707</t>
        </is>
      </c>
      <c r="AA5" t="inlineStr">
        <is>
          <t>"Fugazi Four"; slip shows +800 but payout $7,000; result slip shows 3 legs lost</t>
        </is>
      </c>
      <c r="AB5" t="inlineStr">
        <is>
          <t>Parlay/multi-leg</t>
        </is>
      </c>
      <c r="AC5" s="5">
        <f>IF(ISNUMBER(V5),Q5,"")</f>
        <v/>
      </c>
      <c r="AD5">
        <f>IF(ISNUMBER(W5),R5,"")</f>
        <v/>
      </c>
    </row>
    <row r="6">
      <c r="A6" t="inlineStr">
        <is>
          <t>T-653770</t>
        </is>
      </c>
      <c r="B6" t="inlineStr">
        <is>
          <t>Trent</t>
        </is>
      </c>
      <c r="C6" s="2" t="n">
        <v>46238.44357638889</v>
      </c>
      <c r="D6">
        <f>IF(C6="","",TEXT(C6,"dddd"))</f>
        <v/>
      </c>
      <c r="E6" s="3" t="n">
        <v>46238</v>
      </c>
      <c r="F6">
        <f>IF(E6="","",TEXT(E6,"dddd"))</f>
        <v/>
      </c>
      <c r="G6" t="inlineStr">
        <is>
          <t>not matched</t>
        </is>
      </c>
      <c r="H6" t="inlineStr">
        <is>
          <t>N</t>
        </is>
      </c>
      <c r="I6" t="inlineStr"/>
      <c r="J6" t="inlineStr">
        <is>
          <t>MLB</t>
        </is>
      </c>
      <c r="K6" t="inlineStr">
        <is>
          <t>MLB</t>
        </is>
      </c>
      <c r="L6" t="inlineStr">
        <is>
          <t>PrizePicks/DFS</t>
        </is>
      </c>
      <c r="M6" t="inlineStr">
        <is>
          <t>Jesus Luzardo o7.5 K; Tarik Skubal o7.5 K; Yordan Alvarez o6.5 HFS; Junior Caminero o2.5 H+R+RBI</t>
        </is>
      </c>
      <c r="N6" t="n">
        <v>4</v>
      </c>
      <c r="O6" t="inlineStr">
        <is>
          <t>not shown</t>
        </is>
      </c>
      <c r="P6" s="4" t="n">
        <v>10</v>
      </c>
      <c r="Q6" s="5" t="n">
        <v>1000</v>
      </c>
      <c r="R6" t="inlineStr"/>
      <c r="S6" s="5" t="n">
        <v>10000</v>
      </c>
      <c r="T6" t="inlineStr">
        <is>
          <t>PrizePicks</t>
        </is>
      </c>
      <c r="U6" t="inlineStr">
        <is>
          <t>L</t>
        </is>
      </c>
      <c r="V6" s="5">
        <f>IF(NOT(ISNUMBER(Q6)),"",IF(U6="W",IF(ISNUMBER(S6),S6-Q6,IF(ISNUMBER(P6),Q6*(P6-1),"")),IF(U6="L",-Q6,IF(U6="Push",0,""))))</f>
        <v/>
      </c>
      <c r="W6">
        <f>IF(NOT(ISNUMBER(R6)),"",IF(U6="W",IF(ISNUMBER(P6),R6*(P6-1),""),IF(U6="L",-R6,IF(U6="Push",0,""))))</f>
        <v/>
      </c>
      <c r="X6" t="inlineStr">
        <is>
          <t>graded from final</t>
        </is>
      </c>
      <c r="Y6" t="inlineStr">
        <is>
          <t>N</t>
        </is>
      </c>
      <c r="Z6" t="inlineStr">
        <is>
          <t>https://x.com/BookitWithTrent/status/2084665349379653770</t>
        </is>
      </c>
      <c r="AA6" t="inlineStr">
        <is>
          <t>Final: Luzardo 7 K, Skubal 6 K; Decimal odds derived from payout/stake</t>
        </is>
      </c>
      <c r="AB6" t="inlineStr">
        <is>
          <t>Parlay/multi-leg</t>
        </is>
      </c>
      <c r="AC6" s="5">
        <f>IF(ISNUMBER(V6),Q6,"")</f>
        <v/>
      </c>
      <c r="AD6">
        <f>IF(ISNUMBER(W6),R6,"")</f>
        <v/>
      </c>
    </row>
    <row r="7">
      <c r="A7" t="inlineStr">
        <is>
          <t>T-732627</t>
        </is>
      </c>
      <c r="B7" t="inlineStr">
        <is>
          <t>Trent</t>
        </is>
      </c>
      <c r="C7" s="2" t="n">
        <v>46238.47510416667</v>
      </c>
      <c r="D7">
        <f>IF(C7="","",TEXT(C7,"dddd"))</f>
        <v/>
      </c>
      <c r="E7" s="3" t="n">
        <v>46238</v>
      </c>
      <c r="F7">
        <f>IF(E7="","",TEXT(E7,"dddd"))</f>
        <v/>
      </c>
      <c r="G7" t="inlineStr">
        <is>
          <t>not matched</t>
        </is>
      </c>
      <c r="H7" t="inlineStr">
        <is>
          <t>N</t>
        </is>
      </c>
      <c r="I7" t="inlineStr"/>
      <c r="J7" t="inlineStr">
        <is>
          <t>MLB</t>
        </is>
      </c>
      <c r="K7" t="inlineStr">
        <is>
          <t>MLB</t>
        </is>
      </c>
      <c r="L7" t="inlineStr">
        <is>
          <t>PrizePicks/DFS</t>
        </is>
      </c>
      <c r="M7" t="inlineStr">
        <is>
          <t>Matt Olson HR; Shohei Ohtani HR; Yordan Alvarez HR; Junior Caminero HR (each o0.5)</t>
        </is>
      </c>
      <c r="N7" t="n">
        <v>4</v>
      </c>
      <c r="O7" t="inlineStr">
        <is>
          <t>not shown</t>
        </is>
      </c>
      <c r="P7" s="4" t="n">
        <v>82</v>
      </c>
      <c r="Q7" s="5" t="n">
        <v>250</v>
      </c>
      <c r="R7" t="inlineStr"/>
      <c r="S7" s="5" t="n">
        <v>20500</v>
      </c>
      <c r="T7" t="inlineStr">
        <is>
          <t>PrizePicks</t>
        </is>
      </c>
      <c r="U7" t="inlineStr">
        <is>
          <t>L</t>
        </is>
      </c>
      <c r="V7" s="5">
        <f>IF(NOT(ISNUMBER(Q7)),"",IF(U7="W",IF(ISNUMBER(S7),S7-Q7,IF(ISNUMBER(P7),Q7*(P7-1),"")),IF(U7="L",-Q7,IF(U7="Push",0,""))))</f>
        <v/>
      </c>
      <c r="W7">
        <f>IF(NOT(ISNUMBER(R7)),"",IF(U7="W",IF(ISNUMBER(P7),R7*(P7-1),""),IF(U7="L",-R7,IF(U7="Push",0,""))))</f>
        <v/>
      </c>
      <c r="X7" t="inlineStr">
        <is>
          <t>graded from final</t>
        </is>
      </c>
      <c r="Y7" t="inlineStr">
        <is>
          <t>N</t>
        </is>
      </c>
      <c r="Z7" t="inlineStr">
        <is>
          <t>https://x.com/BookitWithTrent/status/2084676777360732627</t>
        </is>
      </c>
      <c r="AA7" t="inlineStr">
        <is>
          <t>Final: Olson/Ohtani/Alvarez no HR; Decimal odds derived from payout/stake</t>
        </is>
      </c>
      <c r="AB7" t="inlineStr">
        <is>
          <t>Parlay/multi-leg</t>
        </is>
      </c>
      <c r="AC7" s="5">
        <f>IF(ISNUMBER(V7),Q7,"")</f>
        <v/>
      </c>
      <c r="AD7">
        <f>IF(ISNUMBER(W7),R7,"")</f>
        <v/>
      </c>
    </row>
    <row r="8">
      <c r="A8" t="inlineStr">
        <is>
          <t>T-020893</t>
        </is>
      </c>
      <c r="B8" t="inlineStr">
        <is>
          <t>Trent</t>
        </is>
      </c>
      <c r="C8" s="2" t="n">
        <v>46238.53586805556</v>
      </c>
      <c r="D8">
        <f>IF(C8="","",TEXT(C8,"dddd"))</f>
        <v/>
      </c>
      <c r="E8" s="3" t="n">
        <v>46238</v>
      </c>
      <c r="F8">
        <f>IF(E8="","",TEXT(E8,"dddd"))</f>
        <v/>
      </c>
      <c r="G8" t="inlineStr">
        <is>
          <t>not matched</t>
        </is>
      </c>
      <c r="H8" t="inlineStr">
        <is>
          <t>N</t>
        </is>
      </c>
      <c r="I8" t="inlineStr"/>
      <c r="J8" t="inlineStr">
        <is>
          <t>MLB</t>
        </is>
      </c>
      <c r="K8" t="inlineStr">
        <is>
          <t>MLB</t>
        </is>
      </c>
      <c r="L8" t="inlineStr">
        <is>
          <t>PrizePicks/DFS</t>
        </is>
      </c>
      <c r="M8" t="inlineStr">
        <is>
          <t>Trout o5.5 HFS; Rafaela o5.5 HFS; Baldwin o5.5 HFS; Freeman o5.5 HFS; Seager o5.5 HFS; Pena o5.5 HFS</t>
        </is>
      </c>
      <c r="N8" t="n">
        <v>6</v>
      </c>
      <c r="O8" t="inlineStr">
        <is>
          <t>not shown</t>
        </is>
      </c>
      <c r="P8" s="4" t="n">
        <v>37.5</v>
      </c>
      <c r="Q8" s="5" t="n">
        <v>500</v>
      </c>
      <c r="R8" t="inlineStr"/>
      <c r="S8" s="5" t="n">
        <v>18750</v>
      </c>
      <c r="T8" t="inlineStr">
        <is>
          <t>PrizePicks</t>
        </is>
      </c>
      <c r="U8" t="inlineStr">
        <is>
          <t>L</t>
        </is>
      </c>
      <c r="V8" s="5">
        <f>IF(NOT(ISNUMBER(Q8)),"",IF(U8="W",IF(ISNUMBER(S8),S8-Q8,IF(ISNUMBER(P8),Q8*(P8-1),"")),IF(U8="L",-Q8,IF(U8="Push",0,""))))</f>
        <v/>
      </c>
      <c r="W8">
        <f>IF(NOT(ISNUMBER(R8)),"",IF(U8="W",IF(ISNUMBER(P8),R8*(P8-1),""),IF(U8="L",-R8,IF(U8="Push",0,""))))</f>
        <v/>
      </c>
      <c r="X8" t="inlineStr">
        <is>
          <t>graded from final</t>
        </is>
      </c>
      <c r="Y8" t="inlineStr">
        <is>
          <t>N</t>
        </is>
      </c>
      <c r="Z8" t="inlineStr">
        <is>
          <t>https://x.com/BookitWithTrent/status/2084698796060020893</t>
        </is>
      </c>
      <c r="AA8" t="inlineStr">
        <is>
          <t>Final: Trout 3 HFS; Decimal odds derived from payout/stake</t>
        </is>
      </c>
      <c r="AB8" t="inlineStr">
        <is>
          <t>Parlay/multi-leg</t>
        </is>
      </c>
      <c r="AC8" s="5">
        <f>IF(ISNUMBER(V8),Q8,"")</f>
        <v/>
      </c>
      <c r="AD8">
        <f>IF(ISNUMBER(W8),R8,"")</f>
        <v/>
      </c>
    </row>
    <row r="9">
      <c r="A9" t="inlineStr">
        <is>
          <t>T-991261</t>
        </is>
      </c>
      <c r="B9" t="inlineStr">
        <is>
          <t>Trent</t>
        </is>
      </c>
      <c r="C9" s="2" t="n">
        <v>46238.58666666667</v>
      </c>
      <c r="D9">
        <f>IF(C9="","",TEXT(C9,"dddd"))</f>
        <v/>
      </c>
      <c r="E9" s="3" t="n">
        <v>46238</v>
      </c>
      <c r="F9">
        <f>IF(E9="","",TEXT(E9,"dddd"))</f>
        <v/>
      </c>
      <c r="G9" t="inlineStr">
        <is>
          <t>8:40 PM</t>
        </is>
      </c>
      <c r="H9" t="inlineStr">
        <is>
          <t>N</t>
        </is>
      </c>
      <c r="I9" t="inlineStr"/>
      <c r="J9" t="inlineStr">
        <is>
          <t>MLB</t>
        </is>
      </c>
      <c r="K9" t="inlineStr">
        <is>
          <t>MLB</t>
        </is>
      </c>
      <c r="L9" t="inlineStr">
        <is>
          <t>parlay</t>
        </is>
      </c>
      <c r="M9" t="inlineStr">
        <is>
          <t>Phillies ML; Rays ML; Braves ML; Twins ML; Rangers ML</t>
        </is>
      </c>
      <c r="N9" t="n">
        <v>5</v>
      </c>
      <c r="O9" t="inlineStr">
        <is>
          <t>+900</t>
        </is>
      </c>
      <c r="P9" s="4" t="n">
        <v>10</v>
      </c>
      <c r="Q9" s="5" t="n">
        <v>1000</v>
      </c>
      <c r="R9" t="inlineStr"/>
      <c r="S9" s="5" t="n">
        <v>10000</v>
      </c>
      <c r="T9" t="inlineStr">
        <is>
          <t>Pikkit</t>
        </is>
      </c>
      <c r="U9" t="inlineStr">
        <is>
          <t>L</t>
        </is>
      </c>
      <c r="V9" s="5">
        <f>IF(NOT(ISNUMBER(Q9)),"",IF(U9="W",IF(ISNUMBER(S9),S9-Q9,IF(ISNUMBER(P9),Q9*(P9-1),"")),IF(U9="L",-Q9,IF(U9="Push",0,""))))</f>
        <v/>
      </c>
      <c r="W9">
        <f>IF(NOT(ISNUMBER(R9)),"",IF(U9="W",IF(ISNUMBER(P9),R9*(P9-1),""),IF(U9="L",-R9,IF(U9="Push",0,""))))</f>
        <v/>
      </c>
      <c r="X9" t="inlineStr">
        <is>
          <t>posted</t>
        </is>
      </c>
      <c r="Y9" t="inlineStr">
        <is>
          <t>N</t>
        </is>
      </c>
      <c r="Z9" t="inlineStr">
        <is>
          <t>https://x.com/BookitWithTrent/status/2084717205220991261</t>
        </is>
      </c>
      <c r="AA9" t="inlineStr">
        <is>
          <t>"Fugazi Five"; result slip (105054) shows Twins leg lost</t>
        </is>
      </c>
      <c r="AB9" t="inlineStr">
        <is>
          <t>Parlay/multi-leg</t>
        </is>
      </c>
      <c r="AC9" s="5">
        <f>IF(ISNUMBER(V9),Q9,"")</f>
        <v/>
      </c>
      <c r="AD9">
        <f>IF(ISNUMBER(W9),R9,"")</f>
        <v/>
      </c>
    </row>
    <row r="10">
      <c r="A10" t="inlineStr">
        <is>
          <t>T-959071</t>
        </is>
      </c>
      <c r="B10" t="inlineStr">
        <is>
          <t>Trent</t>
        </is>
      </c>
      <c r="C10" s="2" t="n">
        <v>46239.42501157407</v>
      </c>
      <c r="D10">
        <f>IF(C10="","",TEXT(C10,"dddd"))</f>
        <v/>
      </c>
      <c r="E10" s="3" t="n">
        <v>46239</v>
      </c>
      <c r="F10">
        <f>IF(E10="","",TEXT(E10,"dddd"))</f>
        <v/>
      </c>
      <c r="G10" t="inlineStr">
        <is>
          <t>not matched</t>
        </is>
      </c>
      <c r="H10" t="inlineStr">
        <is>
          <t>N</t>
        </is>
      </c>
      <c r="I10" t="inlineStr"/>
      <c r="J10" t="inlineStr">
        <is>
          <t>MLB</t>
        </is>
      </c>
      <c r="K10" t="inlineStr">
        <is>
          <t>MLB</t>
        </is>
      </c>
      <c r="L10" t="inlineStr">
        <is>
          <t>PrizePicks/DFS</t>
        </is>
      </c>
      <c r="M10" t="inlineStr">
        <is>
          <t>Yordan Alvarez o6.5 HFS; Shohei Ohtani o6.5 HFS; Wyatt Langford o5.5 HFS; Junior Caminero o11.5 HFS</t>
        </is>
      </c>
      <c r="N10" t="n">
        <v>4</v>
      </c>
      <c r="O10" t="inlineStr">
        <is>
          <t>not shown</t>
        </is>
      </c>
      <c r="P10" s="4" t="n">
        <v>10</v>
      </c>
      <c r="Q10" s="5" t="n">
        <v>1000</v>
      </c>
      <c r="R10" t="inlineStr"/>
      <c r="S10" s="5" t="n">
        <v>10000</v>
      </c>
      <c r="T10" t="inlineStr">
        <is>
          <t>PrizePicks</t>
        </is>
      </c>
      <c r="U10" t="inlineStr">
        <is>
          <t>W</t>
        </is>
      </c>
      <c r="V10" s="5">
        <f>IF(NOT(ISNUMBER(Q10)),"",IF(U10="W",IF(ISNUMBER(S10),S10-Q10,IF(ISNUMBER(P10),Q10*(P10-1),"")),IF(U10="L",-Q10,IF(U10="Push",0,""))))</f>
        <v/>
      </c>
      <c r="W10">
        <f>IF(NOT(ISNUMBER(R10)),"",IF(U10="W",IF(ISNUMBER(P10),R10*(P10-1),""),IF(U10="L",-R10,IF(U10="Push",0,""))))</f>
        <v/>
      </c>
      <c r="X10" t="inlineStr">
        <is>
          <t>posted</t>
        </is>
      </c>
      <c r="Y10" t="inlineStr">
        <is>
          <t>N</t>
        </is>
      </c>
      <c r="Z10" t="inlineStr">
        <is>
          <t>https://x.com/BookitWithTrent/status/2085021011854959071</t>
        </is>
      </c>
      <c r="AA10" t="inlineStr">
        <is>
          <t>"Birthday 4 man nuke"; cashed per 416291/771254; Game date assumed = post date (CT); Decimal odds derived from payout/stake</t>
        </is>
      </c>
      <c r="AB10" t="inlineStr">
        <is>
          <t>Parlay/multi-leg</t>
        </is>
      </c>
      <c r="AC10" s="5">
        <f>IF(ISNUMBER(V10),Q10,"")</f>
        <v/>
      </c>
      <c r="AD10">
        <f>IF(ISNUMBER(W10),R10,"")</f>
        <v/>
      </c>
    </row>
    <row r="11">
      <c r="A11" t="inlineStr">
        <is>
          <t>T-509092</t>
        </is>
      </c>
      <c r="B11" t="inlineStr">
        <is>
          <t>Trent</t>
        </is>
      </c>
      <c r="C11" s="2" t="n">
        <v>46239.474375</v>
      </c>
      <c r="D11">
        <f>IF(C11="","",TEXT(C11,"dddd"))</f>
        <v/>
      </c>
      <c r="E11" s="3" t="n">
        <v>46239</v>
      </c>
      <c r="F11">
        <f>IF(E11="","",TEXT(E11,"dddd"))</f>
        <v/>
      </c>
      <c r="G11" t="inlineStr">
        <is>
          <t>2:20 PM</t>
        </is>
      </c>
      <c r="H11" t="inlineStr">
        <is>
          <t>N</t>
        </is>
      </c>
      <c r="I11" t="inlineStr"/>
      <c r="J11" t="inlineStr">
        <is>
          <t>MLB</t>
        </is>
      </c>
      <c r="K11" t="inlineStr">
        <is>
          <t>MLB</t>
        </is>
      </c>
      <c r="L11" t="inlineStr">
        <is>
          <t>ML</t>
        </is>
      </c>
      <c r="M11" t="inlineStr">
        <is>
          <t>Dodgers ML</t>
        </is>
      </c>
      <c r="N11" t="n">
        <v>1</v>
      </c>
      <c r="O11" t="inlineStr">
        <is>
          <t>not shown</t>
        </is>
      </c>
      <c r="P11" s="4" t="inlineStr"/>
      <c r="Q11" s="5" t="inlineStr"/>
      <c r="R11" t="n">
        <v>10</v>
      </c>
      <c r="S11" s="5" t="inlineStr"/>
      <c r="T11" t="inlineStr">
        <is>
          <t>not shown</t>
        </is>
      </c>
      <c r="U11" t="inlineStr">
        <is>
          <t>L</t>
        </is>
      </c>
      <c r="V11" s="5">
        <f>IF(NOT(ISNUMBER(Q11)),"",IF(U11="W",IF(ISNUMBER(S11),S11-Q11,IF(ISNUMBER(P11),Q11*(P11-1),"")),IF(U11="L",-Q11,IF(U11="Push",0,""))))</f>
        <v/>
      </c>
      <c r="W11">
        <f>IF(NOT(ISNUMBER(R11)),"",IF(U11="W",IF(ISNUMBER(P11),R11*(P11-1),""),IF(U11="L",-R11,IF(U11="Push",0,""))))</f>
        <v/>
      </c>
      <c r="X11" t="inlineStr">
        <is>
          <t>graded from final</t>
        </is>
      </c>
      <c r="Y11" t="inlineStr">
        <is>
          <t>N</t>
        </is>
      </c>
      <c r="Z11" t="inlineStr">
        <is>
          <t>https://x.com/BookitWithTrent/status/2085038898317509092</t>
        </is>
      </c>
      <c r="AA11" t="inlineStr">
        <is>
          <t>"10U Mortal Mega Max" (CHC vs LAD)</t>
        </is>
      </c>
      <c r="AB11" t="inlineStr">
        <is>
          <t>Single</t>
        </is>
      </c>
      <c r="AC11" s="5">
        <f>IF(ISNUMBER(V11),Q11,"")</f>
        <v/>
      </c>
      <c r="AD11">
        <f>IF(ISNUMBER(W11),R11,"")</f>
        <v/>
      </c>
    </row>
    <row r="12">
      <c r="A12" t="inlineStr">
        <is>
          <t>T-070221</t>
        </is>
      </c>
      <c r="B12" t="inlineStr">
        <is>
          <t>Trent</t>
        </is>
      </c>
      <c r="C12" s="2" t="n">
        <v>46239.49465277778</v>
      </c>
      <c r="D12">
        <f>IF(C12="","",TEXT(C12,"dddd"))</f>
        <v/>
      </c>
      <c r="E12" s="3" t="n">
        <v>46239</v>
      </c>
      <c r="F12">
        <f>IF(E12="","",TEXT(E12,"dddd"))</f>
        <v/>
      </c>
      <c r="G12" t="inlineStr">
        <is>
          <t>not matched</t>
        </is>
      </c>
      <c r="H12" t="inlineStr">
        <is>
          <t>N</t>
        </is>
      </c>
      <c r="I12" t="inlineStr"/>
      <c r="J12" t="inlineStr">
        <is>
          <t>MLB</t>
        </is>
      </c>
      <c r="K12" t="inlineStr">
        <is>
          <t>MLB</t>
        </is>
      </c>
      <c r="L12" t="inlineStr">
        <is>
          <t>PrizePicks/DFS</t>
        </is>
      </c>
      <c r="M12" t="inlineStr">
        <is>
          <t>Yordan Alvarez HR o0.5; Shohei Ohtani HR o0.5</t>
        </is>
      </c>
      <c r="N12" t="n">
        <v>2</v>
      </c>
      <c r="O12" t="inlineStr">
        <is>
          <t>not shown</t>
        </is>
      </c>
      <c r="P12" s="4" t="n">
        <v>8</v>
      </c>
      <c r="Q12" s="5" t="n">
        <v>300</v>
      </c>
      <c r="R12" t="inlineStr"/>
      <c r="S12" s="5" t="n">
        <v>2400</v>
      </c>
      <c r="T12" t="inlineStr">
        <is>
          <t>PrizePicks</t>
        </is>
      </c>
      <c r="U12" t="inlineStr">
        <is>
          <t>L</t>
        </is>
      </c>
      <c r="V12" s="5">
        <f>IF(NOT(ISNUMBER(Q12)),"",IF(U12="W",IF(ISNUMBER(S12),S12-Q12,IF(ISNUMBER(P12),Q12*(P12-1),"")),IF(U12="L",-Q12,IF(U12="Push",0,""))))</f>
        <v/>
      </c>
      <c r="W12">
        <f>IF(NOT(ISNUMBER(R12)),"",IF(U12="W",IF(ISNUMBER(P12),R12*(P12-1),""),IF(U12="L",-R12,IF(U12="Push",0,""))))</f>
        <v/>
      </c>
      <c r="X12" t="inlineStr">
        <is>
          <t>graded from final</t>
        </is>
      </c>
      <c r="Y12" t="inlineStr">
        <is>
          <t>N</t>
        </is>
      </c>
      <c r="Z12" t="inlineStr">
        <is>
          <t>https://x.com/BookitWithTrent/status/2085046247665070221</t>
        </is>
      </c>
      <c r="AA12" t="inlineStr">
        <is>
          <t>Final: Alvarez no HR; Decimal odds derived from payout/stake</t>
        </is>
      </c>
      <c r="AB12" t="inlineStr">
        <is>
          <t>Parlay/multi-leg</t>
        </is>
      </c>
      <c r="AC12" s="5">
        <f>IF(ISNUMBER(V12),Q12,"")</f>
        <v/>
      </c>
      <c r="AD12">
        <f>IF(ISNUMBER(W12),R12,"")</f>
        <v/>
      </c>
    </row>
    <row r="13">
      <c r="A13" t="inlineStr">
        <is>
          <t>T-678835</t>
        </is>
      </c>
      <c r="B13" t="inlineStr">
        <is>
          <t>Trent</t>
        </is>
      </c>
      <c r="C13" s="2" t="n">
        <v>46239.65391203704</v>
      </c>
      <c r="D13">
        <f>IF(C13="","",TEXT(C13,"dddd"))</f>
        <v/>
      </c>
      <c r="E13" s="3" t="n">
        <v>46239</v>
      </c>
      <c r="F13">
        <f>IF(E13="","",TEXT(E13,"dddd"))</f>
        <v/>
      </c>
      <c r="G13" t="inlineStr">
        <is>
          <t>not matched</t>
        </is>
      </c>
      <c r="H13" t="inlineStr">
        <is>
          <t>N</t>
        </is>
      </c>
      <c r="I13" t="inlineStr"/>
      <c r="J13" t="inlineStr">
        <is>
          <t>MLB</t>
        </is>
      </c>
      <c r="K13" t="inlineStr">
        <is>
          <t>MLB</t>
        </is>
      </c>
      <c r="L13" t="inlineStr">
        <is>
          <t>PrizePicks/DFS</t>
        </is>
      </c>
      <c r="M13" t="inlineStr">
        <is>
          <t>Elly De La Cruz o7.5 HFS; Paul Skenes o7 K; Bobby Witt Jr. o6.5 HFS; Bryan Woo o35.5 PFS</t>
        </is>
      </c>
      <c r="N13" t="n">
        <v>4</v>
      </c>
      <c r="O13" t="inlineStr">
        <is>
          <t>not shown</t>
        </is>
      </c>
      <c r="P13" s="4" t="n">
        <v>10</v>
      </c>
      <c r="Q13" s="5" t="n">
        <v>2000</v>
      </c>
      <c r="R13" t="inlineStr"/>
      <c r="S13" s="5" t="n">
        <v>20000</v>
      </c>
      <c r="T13" t="inlineStr">
        <is>
          <t>PrizePicks</t>
        </is>
      </c>
      <c r="U13" t="inlineStr">
        <is>
          <t>L</t>
        </is>
      </c>
      <c r="V13" s="5">
        <f>IF(NOT(ISNUMBER(Q13)),"",IF(U13="W",IF(ISNUMBER(S13),S13-Q13,IF(ISNUMBER(P13),Q13*(P13-1),"")),IF(U13="L",-Q13,IF(U13="Push",0,""))))</f>
        <v/>
      </c>
      <c r="W13">
        <f>IF(NOT(ISNUMBER(R13)),"",IF(U13="W",IF(ISNUMBER(P13),R13*(P13-1),""),IF(U13="L",-R13,IF(U13="Push",0,""))))</f>
        <v/>
      </c>
      <c r="X13" t="inlineStr">
        <is>
          <t>graded from final</t>
        </is>
      </c>
      <c r="Y13" t="inlineStr">
        <is>
          <t>N</t>
        </is>
      </c>
      <c r="Z13" t="inlineStr">
        <is>
          <t>https://x.com/BookitWithTrent/status/2085103959832678835</t>
        </is>
      </c>
      <c r="AA13" t="inlineStr">
        <is>
          <t>late-night 4 man; Final: Skenes 6 K; Decimal odds derived from payout/stake</t>
        </is>
      </c>
      <c r="AB13" t="inlineStr">
        <is>
          <t>Parlay/multi-leg</t>
        </is>
      </c>
      <c r="AC13" s="5">
        <f>IF(ISNUMBER(V13),Q13,"")</f>
        <v/>
      </c>
      <c r="AD13">
        <f>IF(ISNUMBER(W13),R13,"")</f>
        <v/>
      </c>
    </row>
    <row r="14">
      <c r="A14" t="inlineStr">
        <is>
          <t>T-006899</t>
        </is>
      </c>
      <c r="B14" t="inlineStr">
        <is>
          <t>Trent</t>
        </is>
      </c>
      <c r="C14" s="2" t="n">
        <v>46239.69322916667</v>
      </c>
      <c r="D14">
        <f>IF(C14="","",TEXT(C14,"dddd"))</f>
        <v/>
      </c>
      <c r="E14" s="3" t="n">
        <v>46239</v>
      </c>
      <c r="F14">
        <f>IF(E14="","",TEXT(E14,"dddd"))</f>
        <v/>
      </c>
      <c r="G14" t="inlineStr">
        <is>
          <t>9:40 PM</t>
        </is>
      </c>
      <c r="H14" t="inlineStr">
        <is>
          <t>N</t>
        </is>
      </c>
      <c r="I14" t="inlineStr"/>
      <c r="J14" t="inlineStr">
        <is>
          <t>MLB</t>
        </is>
      </c>
      <c r="K14" t="inlineStr">
        <is>
          <t>MLB</t>
        </is>
      </c>
      <c r="L14" t="inlineStr">
        <is>
          <t>parlay</t>
        </is>
      </c>
      <c r="M14" t="inlineStr">
        <is>
          <t>Braves ML; Phillies ML; Pirates ML; Mariners ML</t>
        </is>
      </c>
      <c r="N14" t="n">
        <v>4</v>
      </c>
      <c r="O14" t="inlineStr">
        <is>
          <t>+900</t>
        </is>
      </c>
      <c r="P14" s="4" t="n">
        <v>10</v>
      </c>
      <c r="Q14" s="5" t="n">
        <v>1000</v>
      </c>
      <c r="R14" t="inlineStr"/>
      <c r="S14" s="5" t="n">
        <v>10000</v>
      </c>
      <c r="T14" t="inlineStr">
        <is>
          <t>Pikkit</t>
        </is>
      </c>
      <c r="U14" t="inlineStr">
        <is>
          <t>L</t>
        </is>
      </c>
      <c r="V14" s="5">
        <f>IF(NOT(ISNUMBER(Q14)),"",IF(U14="W",IF(ISNUMBER(S14),S14-Q14,IF(ISNUMBER(P14),Q14*(P14-1),"")),IF(U14="L",-Q14,IF(U14="Push",0,""))))</f>
        <v/>
      </c>
      <c r="W14">
        <f>IF(NOT(ISNUMBER(R14)),"",IF(U14="W",IF(ISNUMBER(P14),R14*(P14-1),""),IF(U14="L",-R14,IF(U14="Push",0,""))))</f>
        <v/>
      </c>
      <c r="X14" t="inlineStr">
        <is>
          <t>graded from final</t>
        </is>
      </c>
      <c r="Y14" t="inlineStr">
        <is>
          <t>N</t>
        </is>
      </c>
      <c r="Z14" t="inlineStr">
        <is>
          <t>https://x.com/BookitWithTrent/status/2085118211373006899</t>
        </is>
      </c>
      <c r="AA14" t="inlineStr">
        <is>
          <t>"Wednesday Night Fugazi"</t>
        </is>
      </c>
      <c r="AB14" t="inlineStr">
        <is>
          <t>Parlay/multi-leg</t>
        </is>
      </c>
      <c r="AC14" s="5">
        <f>IF(ISNUMBER(V14),Q14,"")</f>
        <v/>
      </c>
      <c r="AD14">
        <f>IF(ISNUMBER(W14),R14,"")</f>
        <v/>
      </c>
    </row>
    <row r="15">
      <c r="A15" t="inlineStr">
        <is>
          <t>T-890696</t>
        </is>
      </c>
      <c r="B15" t="inlineStr">
        <is>
          <t>Trent</t>
        </is>
      </c>
      <c r="C15" s="2" t="n">
        <v>46240.47945601852</v>
      </c>
      <c r="D15">
        <f>IF(C15="","",TEXT(C15,"dddd"))</f>
        <v/>
      </c>
      <c r="E15" s="3" t="n">
        <v>46240</v>
      </c>
      <c r="F15">
        <f>IF(E15="","",TEXT(E15,"dddd"))</f>
        <v/>
      </c>
      <c r="G15" t="inlineStr">
        <is>
          <t>not matched</t>
        </is>
      </c>
      <c r="H15" t="inlineStr">
        <is>
          <t>N</t>
        </is>
      </c>
      <c r="I15" t="inlineStr"/>
      <c r="J15" t="inlineStr">
        <is>
          <t>MLB</t>
        </is>
      </c>
      <c r="K15" t="inlineStr">
        <is>
          <t>MLB</t>
        </is>
      </c>
      <c r="L15" t="inlineStr">
        <is>
          <t>PrizePicks/DFS</t>
        </is>
      </c>
      <c r="M15" t="inlineStr">
        <is>
          <t>No-HR (u0.5 HR): De La Cruz; Cal Raleigh; Schwarber; Abreu; Olson; Caglianone</t>
        </is>
      </c>
      <c r="N15" t="n">
        <v>6</v>
      </c>
      <c r="O15" t="inlineStr">
        <is>
          <t>not shown</t>
        </is>
      </c>
      <c r="P15" s="4" t="inlineStr"/>
      <c r="Q15" s="5" t="inlineStr"/>
      <c r="R15" t="inlineStr"/>
      <c r="S15" s="5" t="inlineStr"/>
      <c r="T15" t="inlineStr">
        <is>
          <t>PrizePicks</t>
        </is>
      </c>
      <c r="U15" t="inlineStr">
        <is>
          <t>L</t>
        </is>
      </c>
      <c r="V15" s="5">
        <f>IF(NOT(ISNUMBER(Q15)),"",IF(U15="W",IF(ISNUMBER(S15),S15-Q15,IF(ISNUMBER(P15),Q15*(P15-1),"")),IF(U15="L",-Q15,IF(U15="Push",0,""))))</f>
        <v/>
      </c>
      <c r="W15">
        <f>IF(NOT(ISNUMBER(R15)),"",IF(U15="W",IF(ISNUMBER(P15),R15*(P15-1),""),IF(U15="L",-R15,IF(U15="Push",0,""))))</f>
        <v/>
      </c>
      <c r="X15" t="inlineStr">
        <is>
          <t>graded from final</t>
        </is>
      </c>
      <c r="Y15" t="inlineStr">
        <is>
          <t>Y - tags PrizePicks</t>
        </is>
      </c>
      <c r="Z15" t="inlineStr">
        <is>
          <t>https://x.com/BookitWithTrent/status/2085403129818890696</t>
        </is>
      </c>
      <c r="AA15" t="inlineStr">
        <is>
          <t>stake not shown (lineup screenshot); Final: De La Cruz homered</t>
        </is>
      </c>
      <c r="AB15" t="inlineStr">
        <is>
          <t>Parlay/multi-leg</t>
        </is>
      </c>
      <c r="AC15" s="5">
        <f>IF(ISNUMBER(V15),Q15,"")</f>
        <v/>
      </c>
      <c r="AD15">
        <f>IF(ISNUMBER(W15),R15,"")</f>
        <v/>
      </c>
    </row>
    <row r="16">
      <c r="A16" t="inlineStr">
        <is>
          <t>T-785238</t>
        </is>
      </c>
      <c r="B16" t="inlineStr">
        <is>
          <t>Trent</t>
        </is>
      </c>
      <c r="C16" s="2" t="n">
        <v>46240.49163194445</v>
      </c>
      <c r="D16">
        <f>IF(C16="","",TEXT(C16,"dddd"))</f>
        <v/>
      </c>
      <c r="E16" s="3" t="n">
        <v>46240</v>
      </c>
      <c r="F16">
        <f>IF(E16="","",TEXT(E16,"dddd"))</f>
        <v/>
      </c>
      <c r="G16" t="inlineStr">
        <is>
          <t>not matched</t>
        </is>
      </c>
      <c r="H16" t="inlineStr">
        <is>
          <t>N</t>
        </is>
      </c>
      <c r="I16" t="inlineStr"/>
      <c r="J16" t="inlineStr">
        <is>
          <t>MLB</t>
        </is>
      </c>
      <c r="K16" t="inlineStr">
        <is>
          <t>MLB</t>
        </is>
      </c>
      <c r="L16" t="inlineStr">
        <is>
          <t>PrizePicks/DFS</t>
        </is>
      </c>
      <c r="M16" t="inlineStr">
        <is>
          <t>Dylan Cease o39.5 PFS; Cristopher Sanchez o7 K; Ronald Acuna Jr. o6.5 HFS; Bobby Witt Jr. o6.5 HFS</t>
        </is>
      </c>
      <c r="N16" t="n">
        <v>4</v>
      </c>
      <c r="O16" t="inlineStr">
        <is>
          <t>not shown</t>
        </is>
      </c>
      <c r="P16" s="4" t="n">
        <v>10</v>
      </c>
      <c r="Q16" s="5" t="n">
        <v>1000</v>
      </c>
      <c r="R16" t="inlineStr"/>
      <c r="S16" s="5" t="n">
        <v>10000</v>
      </c>
      <c r="T16" t="inlineStr">
        <is>
          <t>PrizePicks</t>
        </is>
      </c>
      <c r="U16" t="inlineStr">
        <is>
          <t>L</t>
        </is>
      </c>
      <c r="V16" s="5">
        <f>IF(NOT(ISNUMBER(Q16)),"",IF(U16="W",IF(ISNUMBER(S16),S16-Q16,IF(ISNUMBER(P16),Q16*(P16-1),"")),IF(U16="L",-Q16,IF(U16="Push",0,""))))</f>
        <v/>
      </c>
      <c r="W16">
        <f>IF(NOT(ISNUMBER(R16)),"",IF(U16="W",IF(ISNUMBER(P16),R16*(P16-1),""),IF(U16="L",-R16,IF(U16="Push",0,""))))</f>
        <v/>
      </c>
      <c r="X16" t="inlineStr">
        <is>
          <t>posted</t>
        </is>
      </c>
      <c r="Y16" t="inlineStr">
        <is>
          <t>N</t>
        </is>
      </c>
      <c r="Z16" t="inlineStr">
        <is>
          <t>https://x.com/BookitWithTrent/status/2085407541819785238</t>
        </is>
      </c>
      <c r="AA16" t="inlineStr">
        <is>
          <t>Sanchez finished with 6 K (943495 "One fucking K"); Game date assumed = post date (CT); Decimal odds derived from payout/stake</t>
        </is>
      </c>
      <c r="AB16" t="inlineStr">
        <is>
          <t>Parlay/multi-leg</t>
        </is>
      </c>
      <c r="AC16" s="5">
        <f>IF(ISNUMBER(V16),Q16,"")</f>
        <v/>
      </c>
      <c r="AD16">
        <f>IF(ISNUMBER(W16),R16,"")</f>
        <v/>
      </c>
    </row>
    <row r="17">
      <c r="A17" t="inlineStr">
        <is>
          <t>T-801235</t>
        </is>
      </c>
      <c r="B17" t="inlineStr">
        <is>
          <t>Trent</t>
        </is>
      </c>
      <c r="C17" s="2" t="n">
        <v>46240.67803240741</v>
      </c>
      <c r="D17">
        <f>IF(C17="","",TEXT(C17,"dddd"))</f>
        <v/>
      </c>
      <c r="E17" s="3" t="n">
        <v>46240</v>
      </c>
      <c r="F17">
        <f>IF(E17="","",TEXT(E17,"dddd"))</f>
        <v/>
      </c>
      <c r="G17" t="inlineStr">
        <is>
          <t>8:00 PM</t>
        </is>
      </c>
      <c r="H17" t="inlineStr">
        <is>
          <t>Y</t>
        </is>
      </c>
      <c r="I17" t="inlineStr">
        <is>
          <t>TNF</t>
        </is>
      </c>
      <c r="J17" t="inlineStr">
        <is>
          <t>NFL</t>
        </is>
      </c>
      <c r="K17" t="inlineStr">
        <is>
          <t>NFL Preseason</t>
        </is>
      </c>
      <c r="L17" t="inlineStr">
        <is>
          <t>ML</t>
        </is>
      </c>
      <c r="M17" t="inlineStr">
        <is>
          <t>Arizona Cardinals ML (vs WAS)</t>
        </is>
      </c>
      <c r="N17" t="n">
        <v>1</v>
      </c>
      <c r="O17" t="inlineStr">
        <is>
          <t>+100</t>
        </is>
      </c>
      <c r="P17" s="4" t="n">
        <v>2</v>
      </c>
      <c r="Q17" s="5" t="n">
        <v>1087.32</v>
      </c>
      <c r="R17" t="n">
        <v>10</v>
      </c>
      <c r="S17" s="5" t="n">
        <v>2132</v>
      </c>
      <c r="T17" t="inlineStr">
        <is>
          <t>PrizePicks</t>
        </is>
      </c>
      <c r="U17" t="inlineStr">
        <is>
          <t>L</t>
        </is>
      </c>
      <c r="V17" s="5">
        <f>IF(NOT(ISNUMBER(Q17)),"",IF(U17="W",IF(ISNUMBER(S17),S17-Q17,IF(ISNUMBER(P17),Q17*(P17-1),"")),IF(U17="L",-Q17,IF(U17="Push",0,""))))</f>
        <v/>
      </c>
      <c r="W17">
        <f>IF(NOT(ISNUMBER(R17)),"",IF(U17="W",IF(ISNUMBER(P17),R17*(P17-1),""),IF(U17="L",-R17,IF(U17="Push",0,""))))</f>
        <v/>
      </c>
      <c r="X17" t="inlineStr">
        <is>
          <t>posted</t>
        </is>
      </c>
      <c r="Y17" t="inlineStr">
        <is>
          <t>N</t>
        </is>
      </c>
      <c r="Z17" t="inlineStr">
        <is>
          <t>https://x.com/BookitWithTrent/status/2085475090179801235</t>
        </is>
      </c>
      <c r="AA17" t="inlineStr">
        <is>
          <t>"Play of the Year" 10U; PrizePicks 1-pick slip $1,087.32 to win $2,132; loss stated in later post; Game date assumed = post date (CT)</t>
        </is>
      </c>
      <c r="AB17" t="inlineStr">
        <is>
          <t>Single</t>
        </is>
      </c>
      <c r="AC17" s="5">
        <f>IF(ISNUMBER(V17),Q17,"")</f>
        <v/>
      </c>
      <c r="AD17">
        <f>IF(ISNUMBER(W17),R17,"")</f>
        <v/>
      </c>
    </row>
    <row r="18">
      <c r="A18" t="inlineStr">
        <is>
          <t>T-011621</t>
        </is>
      </c>
      <c r="B18" t="inlineStr">
        <is>
          <t>Trent</t>
        </is>
      </c>
      <c r="C18" s="2" t="n">
        <v>46241.6709837963</v>
      </c>
      <c r="D18">
        <f>IF(C18="","",TEXT(C18,"dddd"))</f>
        <v/>
      </c>
      <c r="E18" s="3" t="n">
        <v>46241</v>
      </c>
      <c r="F18">
        <f>IF(E18="","",TEXT(E18,"dddd"))</f>
        <v/>
      </c>
      <c r="G18" t="inlineStr">
        <is>
          <t>not matched</t>
        </is>
      </c>
      <c r="H18" t="inlineStr">
        <is>
          <t>N</t>
        </is>
      </c>
      <c r="I18" t="inlineStr"/>
      <c r="J18" t="inlineStr">
        <is>
          <t>Other</t>
        </is>
      </c>
      <c r="K18" t="inlineStr">
        <is>
          <t>PLL Lacrosse</t>
        </is>
      </c>
      <c r="L18" t="inlineStr">
        <is>
          <t>ML</t>
        </is>
      </c>
      <c r="M18" t="inlineStr">
        <is>
          <t>Whipsnakes ML (vs Cannons)</t>
        </is>
      </c>
      <c r="N18" t="n">
        <v>1</v>
      </c>
      <c r="O18" t="inlineStr">
        <is>
          <t>not shown</t>
        </is>
      </c>
      <c r="P18" s="4" t="inlineStr"/>
      <c r="Q18" s="5" t="inlineStr"/>
      <c r="R18" t="inlineStr">
        <is>
          <t>not shown</t>
        </is>
      </c>
      <c r="S18" s="5" t="inlineStr"/>
      <c r="T18" t="inlineStr">
        <is>
          <t>not shown</t>
        </is>
      </c>
      <c r="U18" t="inlineStr">
        <is>
          <t>Unknown</t>
        </is>
      </c>
      <c r="V18" s="5">
        <f>IF(NOT(ISNUMBER(Q18)),"",IF(U18="W",IF(ISNUMBER(S18),S18-Q18,IF(ISNUMBER(P18),Q18*(P18-1),"")),IF(U18="L",-Q18,IF(U18="Push",0,""))))</f>
        <v/>
      </c>
      <c r="W18">
        <f>IF(NOT(ISNUMBER(R18)),"",IF(U18="W",IF(ISNUMBER(P18),R18*(P18-1),""),IF(U18="L",-R18,IF(U18="Push",0,""))))</f>
        <v/>
      </c>
      <c r="X18" t="inlineStr">
        <is>
          <t>unverified</t>
        </is>
      </c>
      <c r="Y18" t="inlineStr">
        <is>
          <t>N</t>
        </is>
      </c>
      <c r="Z18" t="inlineStr">
        <is>
          <t>https://x.com/BookitWithTrent/status/2085834923991011621</t>
        </is>
      </c>
      <c r="AA18" t="inlineStr">
        <is>
          <t>"Mortal mega"; Game date assumed = post date (CT)</t>
        </is>
      </c>
      <c r="AB18" t="inlineStr">
        <is>
          <t>Single</t>
        </is>
      </c>
      <c r="AC18" s="5">
        <f>IF(ISNUMBER(V18),Q18,"")</f>
        <v/>
      </c>
      <c r="AD18">
        <f>IF(ISNUMBER(W18),R18,"")</f>
        <v/>
      </c>
    </row>
    <row r="19">
      <c r="A19" t="inlineStr">
        <is>
          <t>T-053239</t>
        </is>
      </c>
      <c r="B19" t="inlineStr">
        <is>
          <t>Trent</t>
        </is>
      </c>
      <c r="C19" s="2" t="n">
        <v>46242.43005787037</v>
      </c>
      <c r="D19">
        <f>IF(C19="","",TEXT(C19,"dddd"))</f>
        <v/>
      </c>
      <c r="E19" s="3" t="n">
        <v>46242</v>
      </c>
      <c r="F19">
        <f>IF(E19="","",TEXT(E19,"dddd"))</f>
        <v/>
      </c>
      <c r="G19" t="inlineStr">
        <is>
          <t>3:05 PM</t>
        </is>
      </c>
      <c r="H19" t="inlineStr">
        <is>
          <t>N</t>
        </is>
      </c>
      <c r="I19" t="inlineStr"/>
      <c r="J19" t="inlineStr">
        <is>
          <t>MLB</t>
        </is>
      </c>
      <c r="K19" t="inlineStr">
        <is>
          <t>MLB</t>
        </is>
      </c>
      <c r="L19" t="inlineStr">
        <is>
          <t>parlay</t>
        </is>
      </c>
      <c r="M19" t="inlineStr">
        <is>
          <t>ATL ML -135; Chris Sale o6.5 K -668</t>
        </is>
      </c>
      <c r="N19" t="n">
        <v>2</v>
      </c>
      <c r="O19" t="inlineStr">
        <is>
          <t>+100</t>
        </is>
      </c>
      <c r="P19" s="4" t="n">
        <v>2</v>
      </c>
      <c r="Q19" s="5" t="n">
        <v>1000</v>
      </c>
      <c r="R19" t="inlineStr"/>
      <c r="S19" s="5" t="n">
        <v>1000</v>
      </c>
      <c r="T19" t="inlineStr">
        <is>
          <t>Pikkit</t>
        </is>
      </c>
      <c r="U19" t="inlineStr">
        <is>
          <t>L</t>
        </is>
      </c>
      <c r="V19" s="5">
        <f>IF(NOT(ISNUMBER(Q19)),"",IF(U19="W",IF(ISNUMBER(S19),S19-Q19,IF(ISNUMBER(P19),Q19*(P19-1),"")),IF(U19="L",-Q19,IF(U19="Push",0,""))))</f>
        <v/>
      </c>
      <c r="W19">
        <f>IF(NOT(ISNUMBER(R19)),"",IF(U19="W",IF(ISNUMBER(P19),R19*(P19-1),""),IF(U19="L",-R19,IF(U19="Push",0,""))))</f>
        <v/>
      </c>
      <c r="X19" t="inlineStr">
        <is>
          <t>graded from final</t>
        </is>
      </c>
      <c r="Y19" t="inlineStr">
        <is>
          <t>Y - tags Pikkit</t>
        </is>
      </c>
      <c r="Z19" t="inlineStr">
        <is>
          <t>https://x.com/BookitWithTrent/status/2086110001551053239</t>
        </is>
      </c>
      <c r="AA19" t="inlineStr">
        <is>
          <t>"Braves ML + Sale 7+"; payout field is to-win</t>
        </is>
      </c>
      <c r="AB19" t="inlineStr">
        <is>
          <t>Parlay/multi-leg</t>
        </is>
      </c>
      <c r="AC19" s="5">
        <f>IF(ISNUMBER(V19),Q19,"")</f>
        <v/>
      </c>
      <c r="AD19">
        <f>IF(ISNUMBER(W19),R19,"")</f>
        <v/>
      </c>
    </row>
    <row r="20">
      <c r="A20" t="inlineStr">
        <is>
          <t>T-205609</t>
        </is>
      </c>
      <c r="B20" t="inlineStr">
        <is>
          <t>Trent</t>
        </is>
      </c>
      <c r="C20" s="2" t="n">
        <v>46242.44914351852</v>
      </c>
      <c r="D20">
        <f>IF(C20="","",TEXT(C20,"dddd"))</f>
        <v/>
      </c>
      <c r="E20" s="3" t="n">
        <v>46242</v>
      </c>
      <c r="F20">
        <f>IF(E20="","",TEXT(E20,"dddd"))</f>
        <v/>
      </c>
      <c r="G20" t="inlineStr">
        <is>
          <t>not matched</t>
        </is>
      </c>
      <c r="H20" t="inlineStr">
        <is>
          <t>N</t>
        </is>
      </c>
      <c r="I20" t="inlineStr"/>
      <c r="J20" t="inlineStr">
        <is>
          <t>Other</t>
        </is>
      </c>
      <c r="K20" t="inlineStr">
        <is>
          <t>PLL Lacrosse</t>
        </is>
      </c>
      <c r="L20" t="inlineStr">
        <is>
          <t>spread</t>
        </is>
      </c>
      <c r="M20" t="inlineStr">
        <is>
          <t>New York Atlas +1.5</t>
        </is>
      </c>
      <c r="N20" t="n">
        <v>1</v>
      </c>
      <c r="O20" t="inlineStr">
        <is>
          <t>not shown</t>
        </is>
      </c>
      <c r="P20" s="4" t="inlineStr"/>
      <c r="Q20" s="5" t="inlineStr"/>
      <c r="R20" t="inlineStr"/>
      <c r="S20" s="5" t="inlineStr"/>
      <c r="T20" t="inlineStr">
        <is>
          <t>not shown</t>
        </is>
      </c>
      <c r="U20" t="inlineStr">
        <is>
          <t>Unknown</t>
        </is>
      </c>
      <c r="V20" s="5">
        <f>IF(NOT(ISNUMBER(Q20)),"",IF(U20="W",IF(ISNUMBER(S20),S20-Q20,IF(ISNUMBER(P20),Q20*(P20-1),"")),IF(U20="L",-Q20,IF(U20="Push",0,""))))</f>
        <v/>
      </c>
      <c r="W20">
        <f>IF(NOT(ISNUMBER(R20)),"",IF(U20="W",IF(ISNUMBER(P20),R20*(P20-1),""),IF(U20="L",-R20,IF(U20="Push",0,""))))</f>
        <v/>
      </c>
      <c r="X20" t="inlineStr">
        <is>
          <t>unverified</t>
        </is>
      </c>
      <c r="Y20" t="inlineStr">
        <is>
          <t>N</t>
        </is>
      </c>
      <c r="Z20" t="inlineStr">
        <is>
          <t>https://x.com/BookitWithTrent/status/2086116921108205609</t>
        </is>
      </c>
      <c r="AA20" t="inlineStr">
        <is>
          <t>"Mortal mega" fading @krabs_bookit; Game date assumed = post date (CT)</t>
        </is>
      </c>
      <c r="AB20" t="inlineStr">
        <is>
          <t>Single</t>
        </is>
      </c>
      <c r="AC20" s="5">
        <f>IF(ISNUMBER(V20),Q20,"")</f>
        <v/>
      </c>
      <c r="AD20">
        <f>IF(ISNUMBER(W20),R20,"")</f>
        <v/>
      </c>
    </row>
    <row r="21">
      <c r="A21" t="inlineStr">
        <is>
          <t>T-265862</t>
        </is>
      </c>
      <c r="B21" t="inlineStr">
        <is>
          <t>Trent</t>
        </is>
      </c>
      <c r="C21" s="2" t="n">
        <v>46242.48153935185</v>
      </c>
      <c r="D21">
        <f>IF(C21="","",TEXT(C21,"dddd"))</f>
        <v/>
      </c>
      <c r="E21" s="3" t="n">
        <v>46242</v>
      </c>
      <c r="F21">
        <f>IF(E21="","",TEXT(E21,"dddd"))</f>
        <v/>
      </c>
      <c r="G21" t="inlineStr">
        <is>
          <t>3:05 PM</t>
        </is>
      </c>
      <c r="H21" t="inlineStr">
        <is>
          <t>N</t>
        </is>
      </c>
      <c r="I21" t="inlineStr"/>
      <c r="J21" t="inlineStr">
        <is>
          <t>MLB</t>
        </is>
      </c>
      <c r="K21" t="inlineStr">
        <is>
          <t>MLB</t>
        </is>
      </c>
      <c r="L21" t="inlineStr">
        <is>
          <t>PrizePicks/DFS</t>
        </is>
      </c>
      <c r="M21" t="inlineStr">
        <is>
          <t>Under 0.5 HR: Ben Rice; Paul Goldschmidt; Trent Grisham; Austin Riley; Matt Olson; Mike Yastrzemski</t>
        </is>
      </c>
      <c r="N21" t="n">
        <v>6</v>
      </c>
      <c r="O21" t="inlineStr">
        <is>
          <t>+130</t>
        </is>
      </c>
      <c r="P21" s="4" t="n">
        <v>2.3</v>
      </c>
      <c r="Q21" s="5" t="n">
        <v>2000</v>
      </c>
      <c r="R21" t="inlineStr"/>
      <c r="S21" s="5" t="n">
        <v>2600</v>
      </c>
      <c r="T21" t="inlineStr">
        <is>
          <t>PrizePicks</t>
        </is>
      </c>
      <c r="U21" t="inlineStr">
        <is>
          <t>L</t>
        </is>
      </c>
      <c r="V21" s="5">
        <f>IF(NOT(ISNUMBER(Q21)),"",IF(U21="W",IF(ISNUMBER(S21),S21-Q21,IF(ISNUMBER(P21),Q21*(P21-1),"")),IF(U21="L",-Q21,IF(U21="Push",0,""))))</f>
        <v/>
      </c>
      <c r="W21">
        <f>IF(NOT(ISNUMBER(R21)),"",IF(U21="W",IF(ISNUMBER(P21),R21*(P21-1),""),IF(U21="L",-R21,IF(U21="Push",0,""))))</f>
        <v/>
      </c>
      <c r="X21" t="inlineStr">
        <is>
          <t>graded from final</t>
        </is>
      </c>
      <c r="Y21" t="inlineStr">
        <is>
          <t>Y - tags Pikkit</t>
        </is>
      </c>
      <c r="Z21" t="inlineStr">
        <is>
          <t>https://x.com/BookitWithTrent/status/2086128660709265862</t>
        </is>
      </c>
      <c r="AA21" t="inlineStr">
        <is>
          <t>2.3x power play shown on Pikkit; ATL@NYY no-HR lay; Final: Ben Rice homered</t>
        </is>
      </c>
      <c r="AB21" t="inlineStr">
        <is>
          <t>Parlay/multi-leg</t>
        </is>
      </c>
      <c r="AC21" s="5">
        <f>IF(ISNUMBER(V21),Q21,"")</f>
        <v/>
      </c>
      <c r="AD21">
        <f>IF(ISNUMBER(W21),R21,"")</f>
        <v/>
      </c>
    </row>
    <row r="22">
      <c r="A22" t="inlineStr">
        <is>
          <t>T-455925</t>
        </is>
      </c>
      <c r="B22" t="inlineStr">
        <is>
          <t>Trent</t>
        </is>
      </c>
      <c r="C22" s="2" t="n">
        <v>46243.43783564815</v>
      </c>
      <c r="D22">
        <f>IF(C22="","",TEXT(C22,"dddd"))</f>
        <v/>
      </c>
      <c r="E22" s="3" t="n">
        <v>46243</v>
      </c>
      <c r="F22">
        <f>IF(E22="","",TEXT(E22,"dddd"))</f>
        <v/>
      </c>
      <c r="G22" t="inlineStr">
        <is>
          <t>not matched</t>
        </is>
      </c>
      <c r="H22" t="inlineStr">
        <is>
          <t>N</t>
        </is>
      </c>
      <c r="I22" t="inlineStr"/>
      <c r="J22" t="inlineStr">
        <is>
          <t>MLB</t>
        </is>
      </c>
      <c r="K22" t="inlineStr">
        <is>
          <t>MLB</t>
        </is>
      </c>
      <c r="L22" t="inlineStr">
        <is>
          <t>PrizePicks/DFS</t>
        </is>
      </c>
      <c r="M22" t="inlineStr">
        <is>
          <t>CJ Abrams o6.5 HFS; Royce Lewis u5.5 HFS; Kumar Rocker u16.5 PO; Justin Wrobleski o27.5 PFS</t>
        </is>
      </c>
      <c r="N22" t="n">
        <v>4</v>
      </c>
      <c r="O22" t="inlineStr">
        <is>
          <t>not shown</t>
        </is>
      </c>
      <c r="P22" s="4" t="n">
        <v>10</v>
      </c>
      <c r="Q22" s="5" t="n">
        <v>1000</v>
      </c>
      <c r="R22" t="inlineStr"/>
      <c r="S22" s="5" t="n">
        <v>10000</v>
      </c>
      <c r="T22" t="inlineStr">
        <is>
          <t>PrizePicks</t>
        </is>
      </c>
      <c r="U22" t="inlineStr">
        <is>
          <t>L</t>
        </is>
      </c>
      <c r="V22" s="5">
        <f>IF(NOT(ISNUMBER(Q22)),"",IF(U22="W",IF(ISNUMBER(S22),S22-Q22,IF(ISNUMBER(P22),Q22*(P22-1),"")),IF(U22="L",-Q22,IF(U22="Push",0,""))))</f>
        <v/>
      </c>
      <c r="W22">
        <f>IF(NOT(ISNUMBER(R22)),"",IF(U22="W",IF(ISNUMBER(P22),R22*(P22-1),""),IF(U22="L",-R22,IF(U22="Push",0,""))))</f>
        <v/>
      </c>
      <c r="X22" t="inlineStr">
        <is>
          <t>posted</t>
        </is>
      </c>
      <c r="Y22" t="inlineStr">
        <is>
          <t>N</t>
        </is>
      </c>
      <c r="Z22" t="inlineStr">
        <is>
          <t>https://x.com/BookitWithTrent/status/2086475207892455925</t>
        </is>
      </c>
      <c r="AA22" t="inlineStr">
        <is>
          <t>Collab slip w/ @jovan_deeb; "I sold the 4 man"; Game date assumed = post date (CT); Decimal odds derived from payout/stake</t>
        </is>
      </c>
      <c r="AB22" t="inlineStr">
        <is>
          <t>Parlay/multi-leg</t>
        </is>
      </c>
      <c r="AC22" s="5">
        <f>IF(ISNUMBER(V22),Q22,"")</f>
        <v/>
      </c>
      <c r="AD22">
        <f>IF(ISNUMBER(W22),R22,"")</f>
        <v/>
      </c>
    </row>
    <row r="23">
      <c r="A23" t="inlineStr">
        <is>
          <t>T-648430</t>
        </is>
      </c>
      <c r="B23" t="inlineStr">
        <is>
          <t>Trent</t>
        </is>
      </c>
      <c r="C23" s="2" t="n">
        <v>46243.68325231481</v>
      </c>
      <c r="D23">
        <f>IF(C23="","",TEXT(C23,"dddd"))</f>
        <v/>
      </c>
      <c r="E23" s="3" t="n">
        <v>46243</v>
      </c>
      <c r="F23">
        <f>IF(E23="","",TEXT(E23,"dddd"))</f>
        <v/>
      </c>
      <c r="G23" t="inlineStr">
        <is>
          <t>8:20 PM</t>
        </is>
      </c>
      <c r="H23" t="inlineStr">
        <is>
          <t>N</t>
        </is>
      </c>
      <c r="I23" t="inlineStr"/>
      <c r="J23" t="inlineStr">
        <is>
          <t>MLB</t>
        </is>
      </c>
      <c r="K23" t="inlineStr">
        <is>
          <t>MLB</t>
        </is>
      </c>
      <c r="L23" t="inlineStr">
        <is>
          <t>ML</t>
        </is>
      </c>
      <c r="M23" t="inlineStr">
        <is>
          <t>Houston Astros ML (Sunday night)</t>
        </is>
      </c>
      <c r="N23" t="n">
        <v>1</v>
      </c>
      <c r="O23" t="inlineStr">
        <is>
          <t>not shown</t>
        </is>
      </c>
      <c r="P23" s="4" t="inlineStr"/>
      <c r="Q23" s="5" t="inlineStr"/>
      <c r="R23" t="inlineStr"/>
      <c r="S23" s="5" t="inlineStr"/>
      <c r="T23" t="inlineStr">
        <is>
          <t>not shown</t>
        </is>
      </c>
      <c r="U23" t="inlineStr">
        <is>
          <t>L</t>
        </is>
      </c>
      <c r="V23" s="5">
        <f>IF(NOT(ISNUMBER(Q23)),"",IF(U23="W",IF(ISNUMBER(S23),S23-Q23,IF(ISNUMBER(P23),Q23*(P23-1),"")),IF(U23="L",-Q23,IF(U23="Push",0,""))))</f>
        <v/>
      </c>
      <c r="W23">
        <f>IF(NOT(ISNUMBER(R23)),"",IF(U23="W",IF(ISNUMBER(P23),R23*(P23-1),""),IF(U23="L",-R23,IF(U23="Push",0,""))))</f>
        <v/>
      </c>
      <c r="X23" t="inlineStr">
        <is>
          <t>graded from final</t>
        </is>
      </c>
      <c r="Y23" t="inlineStr">
        <is>
          <t>N</t>
        </is>
      </c>
      <c r="Z23" t="inlineStr">
        <is>
          <t>https://x.com/BookitWithTrent/status/2086564147198648430</t>
        </is>
      </c>
      <c r="AA23" t="inlineStr">
        <is>
          <t>"Sunday Night Mortal Mega... for all the coin back"</t>
        </is>
      </c>
      <c r="AB23" t="inlineStr">
        <is>
          <t>Single</t>
        </is>
      </c>
      <c r="AC23" s="5">
        <f>IF(ISNUMBER(V23),Q23,"")</f>
        <v/>
      </c>
      <c r="AD23">
        <f>IF(ISNUMBER(W23),R23,"")</f>
        <v/>
      </c>
    </row>
    <row r="24">
      <c r="A24" t="inlineStr">
        <is>
          <t>T-372455</t>
        </is>
      </c>
      <c r="B24" t="inlineStr">
        <is>
          <t>Trent</t>
        </is>
      </c>
      <c r="C24" s="2" t="n">
        <v>46244.56114583334</v>
      </c>
      <c r="D24">
        <f>IF(C24="","",TEXT(C24,"dddd"))</f>
        <v/>
      </c>
      <c r="E24" s="3" t="n">
        <v>46244</v>
      </c>
      <c r="F24">
        <f>IF(E24="","",TEXT(E24,"dddd"))</f>
        <v/>
      </c>
      <c r="G24" t="inlineStr">
        <is>
          <t>not matched</t>
        </is>
      </c>
      <c r="H24" t="inlineStr">
        <is>
          <t>N</t>
        </is>
      </c>
      <c r="I24" t="inlineStr"/>
      <c r="J24" t="inlineStr">
        <is>
          <t>MLB</t>
        </is>
      </c>
      <c r="K24" t="inlineStr">
        <is>
          <t>MLB</t>
        </is>
      </c>
      <c r="L24" t="inlineStr">
        <is>
          <t>PrizePicks/DFS</t>
        </is>
      </c>
      <c r="M24" t="inlineStr">
        <is>
          <t>Junior Caminero o8 HFS; Tarik Skubal o7.5 K</t>
        </is>
      </c>
      <c r="N24" t="n">
        <v>2</v>
      </c>
      <c r="O24" t="inlineStr">
        <is>
          <t>not shown</t>
        </is>
      </c>
      <c r="P24" s="4" t="n">
        <v>3</v>
      </c>
      <c r="Q24" s="5" t="n">
        <v>3000</v>
      </c>
      <c r="R24" t="inlineStr"/>
      <c r="S24" s="5" t="n">
        <v>9000</v>
      </c>
      <c r="T24" t="inlineStr">
        <is>
          <t>PrizePicks</t>
        </is>
      </c>
      <c r="U24" t="inlineStr">
        <is>
          <t>L</t>
        </is>
      </c>
      <c r="V24" s="5">
        <f>IF(NOT(ISNUMBER(Q24)),"",IF(U24="W",IF(ISNUMBER(S24),S24-Q24,IF(ISNUMBER(P24),Q24*(P24-1),"")),IF(U24="L",-Q24,IF(U24="Push",0,""))))</f>
        <v/>
      </c>
      <c r="W24">
        <f>IF(NOT(ISNUMBER(R24)),"",IF(U24="W",IF(ISNUMBER(P24),R24*(P24-1),""),IF(U24="L",-R24,IF(U24="Push",0,""))))</f>
        <v/>
      </c>
      <c r="X24" t="inlineStr">
        <is>
          <t>posted</t>
        </is>
      </c>
      <c r="Y24" t="inlineStr">
        <is>
          <t>N</t>
        </is>
      </c>
      <c r="Z24" t="inlineStr">
        <is>
          <t>https://x.com/BookitWithTrent/status/2086882285014372455</t>
        </is>
      </c>
      <c r="AA24" t="inlineStr">
        <is>
          <t>"worst 2 man ever gg"; Game date assumed = post date (CT); Decimal odds derived from payout/stake</t>
        </is>
      </c>
      <c r="AB24" t="inlineStr">
        <is>
          <t>Parlay/multi-leg</t>
        </is>
      </c>
      <c r="AC24" s="5">
        <f>IF(ISNUMBER(V24),Q24,"")</f>
        <v/>
      </c>
      <c r="AD24">
        <f>IF(ISNUMBER(W24),R24,"")</f>
        <v/>
      </c>
    </row>
    <row r="25">
      <c r="A25" t="inlineStr">
        <is>
          <t>T-373509</t>
        </is>
      </c>
      <c r="B25" t="inlineStr">
        <is>
          <t>Trent</t>
        </is>
      </c>
      <c r="C25" s="2" t="n">
        <v>46245.58375</v>
      </c>
      <c r="D25">
        <f>IF(C25="","",TEXT(C25,"dddd"))</f>
        <v/>
      </c>
      <c r="E25" s="3" t="n">
        <v>46245</v>
      </c>
      <c r="F25">
        <f>IF(E25="","",TEXT(E25,"dddd"))</f>
        <v/>
      </c>
      <c r="G25" t="inlineStr">
        <is>
          <t>not matched</t>
        </is>
      </c>
      <c r="H25" t="inlineStr">
        <is>
          <t>N</t>
        </is>
      </c>
      <c r="I25" t="inlineStr"/>
      <c r="J25" t="inlineStr">
        <is>
          <t>MLB</t>
        </is>
      </c>
      <c r="K25" t="inlineStr">
        <is>
          <t>MLB</t>
        </is>
      </c>
      <c r="L25" t="inlineStr">
        <is>
          <t>prop</t>
        </is>
      </c>
      <c r="M25" t="inlineStr">
        <is>
          <t>Blake Snell o14.5 1st-inning pitches (vs KC)</t>
        </is>
      </c>
      <c r="N25" t="n">
        <v>1</v>
      </c>
      <c r="O25" t="inlineStr">
        <is>
          <t>not shown</t>
        </is>
      </c>
      <c r="P25" s="4" t="inlineStr"/>
      <c r="Q25" s="5" t="inlineStr"/>
      <c r="R25" t="inlineStr"/>
      <c r="S25" s="5" t="inlineStr"/>
      <c r="T25" t="inlineStr">
        <is>
          <t>PrizePicks</t>
        </is>
      </c>
      <c r="U25" t="inlineStr">
        <is>
          <t>L</t>
        </is>
      </c>
      <c r="V25" s="5">
        <f>IF(NOT(ISNUMBER(Q25)),"",IF(U25="W",IF(ISNUMBER(S25),S25-Q25,IF(ISNUMBER(P25),Q25*(P25-1),"")),IF(U25="L",-Q25,IF(U25="Push",0,""))))</f>
        <v/>
      </c>
      <c r="W25">
        <f>IF(NOT(ISNUMBER(R25)),"",IF(U25="W",IF(ISNUMBER(P25),R25*(P25-1),""),IF(U25="L",-R25,IF(U25="Push",0,""))))</f>
        <v/>
      </c>
      <c r="X25" t="inlineStr">
        <is>
          <t>posted</t>
        </is>
      </c>
      <c r="Y25" t="inlineStr">
        <is>
          <t>N</t>
        </is>
      </c>
      <c r="Z25" t="inlineStr">
        <is>
          <t>https://x.com/BookitWithTrent/status/2087252861994373509</t>
        </is>
      </c>
      <c r="AA25" t="inlineStr">
        <is>
          <t>"Rare MLB Play of Year"; stake not shown; "worst fucking play ever"; Game date assumed = post date (CT)</t>
        </is>
      </c>
      <c r="AB25" t="inlineStr">
        <is>
          <t>Single</t>
        </is>
      </c>
      <c r="AC25" s="5">
        <f>IF(ISNUMBER(V25),Q25,"")</f>
        <v/>
      </c>
      <c r="AD25">
        <f>IF(ISNUMBER(W25),R25,"")</f>
        <v/>
      </c>
    </row>
    <row r="26">
      <c r="A26" t="inlineStr">
        <is>
          <t>T-102203</t>
        </is>
      </c>
      <c r="B26" t="inlineStr">
        <is>
          <t>Trent</t>
        </is>
      </c>
      <c r="C26" s="2" t="n">
        <v>46245.5906712963</v>
      </c>
      <c r="D26">
        <f>IF(C26="","",TEXT(C26,"dddd"))</f>
        <v/>
      </c>
      <c r="E26" s="3" t="n">
        <v>46245</v>
      </c>
      <c r="F26">
        <f>IF(E26="","",TEXT(E26,"dddd"))</f>
        <v/>
      </c>
      <c r="G26" t="inlineStr">
        <is>
          <t>10:10 PM</t>
        </is>
      </c>
      <c r="H26" t="inlineStr">
        <is>
          <t>N</t>
        </is>
      </c>
      <c r="I26" t="inlineStr"/>
      <c r="J26" t="inlineStr">
        <is>
          <t>MLB</t>
        </is>
      </c>
      <c r="K26" t="inlineStr">
        <is>
          <t>MLB</t>
        </is>
      </c>
      <c r="L26" t="inlineStr">
        <is>
          <t>parlay</t>
        </is>
      </c>
      <c r="M26" t="inlineStr">
        <is>
          <t>Blue Jays ML; White Sox ML; Rangers ML; Astros ML; Dodgers ML</t>
        </is>
      </c>
      <c r="N26" t="n">
        <v>5</v>
      </c>
      <c r="O26" t="inlineStr">
        <is>
          <t>+1000</t>
        </is>
      </c>
      <c r="P26" s="4" t="n">
        <v>11</v>
      </c>
      <c r="Q26" s="5" t="n">
        <v>1000</v>
      </c>
      <c r="R26" t="inlineStr"/>
      <c r="S26" s="5" t="n">
        <v>11000</v>
      </c>
      <c r="T26" t="inlineStr">
        <is>
          <t>Pikkit</t>
        </is>
      </c>
      <c r="U26" t="inlineStr">
        <is>
          <t>L</t>
        </is>
      </c>
      <c r="V26" s="5">
        <f>IF(NOT(ISNUMBER(Q26)),"",IF(U26="W",IF(ISNUMBER(S26),S26-Q26,IF(ISNUMBER(P26),Q26*(P26-1),"")),IF(U26="L",-Q26,IF(U26="Push",0,""))))</f>
        <v/>
      </c>
      <c r="W26">
        <f>IF(NOT(ISNUMBER(R26)),"",IF(U26="W",IF(ISNUMBER(P26),R26*(P26-1),""),IF(U26="L",-R26,IF(U26="Push",0,""))))</f>
        <v/>
      </c>
      <c r="X26" t="inlineStr">
        <is>
          <t>graded from final</t>
        </is>
      </c>
      <c r="Y26" t="inlineStr">
        <is>
          <t>N</t>
        </is>
      </c>
      <c r="Z26" t="inlineStr">
        <is>
          <t>https://x.com/BookitWithTrent/status/2087255371677102203</t>
        </is>
      </c>
      <c r="AA26" t="inlineStr">
        <is>
          <t>"Fugazi Five"</t>
        </is>
      </c>
      <c r="AB26" t="inlineStr">
        <is>
          <t>Parlay/multi-leg</t>
        </is>
      </c>
      <c r="AC26" s="5">
        <f>IF(ISNUMBER(V26),Q26,"")</f>
        <v/>
      </c>
      <c r="AD26">
        <f>IF(ISNUMBER(W26),R26,"")</f>
        <v/>
      </c>
    </row>
    <row r="27">
      <c r="A27" t="inlineStr">
        <is>
          <t>T-155794</t>
        </is>
      </c>
      <c r="B27" t="inlineStr">
        <is>
          <t>Trent</t>
        </is>
      </c>
      <c r="C27" s="2" t="n">
        <v>46245.60541666667</v>
      </c>
      <c r="D27">
        <f>IF(C27="","",TEXT(C27,"dddd"))</f>
        <v/>
      </c>
      <c r="E27" s="3" t="n">
        <v>46245</v>
      </c>
      <c r="F27">
        <f>IF(E27="","",TEXT(E27,"dddd"))</f>
        <v/>
      </c>
      <c r="G27" t="inlineStr">
        <is>
          <t>6:45 PM</t>
        </is>
      </c>
      <c r="H27" t="inlineStr">
        <is>
          <t>N</t>
        </is>
      </c>
      <c r="I27" t="inlineStr"/>
      <c r="J27" t="inlineStr">
        <is>
          <t>MLB</t>
        </is>
      </c>
      <c r="K27" t="inlineStr">
        <is>
          <t>MLB</t>
        </is>
      </c>
      <c r="L27" t="inlineStr">
        <is>
          <t>card</t>
        </is>
      </c>
      <c r="M27" t="inlineStr">
        <is>
          <t>Cubs -1.5</t>
        </is>
      </c>
      <c r="N27" t="n">
        <v>1</v>
      </c>
      <c r="O27" t="inlineStr">
        <is>
          <t>not shown</t>
        </is>
      </c>
      <c r="P27" s="4" t="inlineStr"/>
      <c r="Q27" s="5" t="inlineStr"/>
      <c r="R27" t="inlineStr"/>
      <c r="S27" s="5" t="inlineStr"/>
      <c r="T27" t="inlineStr">
        <is>
          <t>not shown</t>
        </is>
      </c>
      <c r="U27" t="inlineStr">
        <is>
          <t>W</t>
        </is>
      </c>
      <c r="V27" s="5">
        <f>IF(NOT(ISNUMBER(Q27)),"",IF(U27="W",IF(ISNUMBER(S27),S27-Q27,IF(ISNUMBER(P27),Q27*(P27-1),"")),IF(U27="L",-Q27,IF(U27="Push",0,""))))</f>
        <v/>
      </c>
      <c r="W27">
        <f>IF(NOT(ISNUMBER(R27)),"",IF(U27="W",IF(ISNUMBER(P27),R27*(P27-1),""),IF(U27="L",-R27,IF(U27="Push",0,""))))</f>
        <v/>
      </c>
      <c r="X27" t="inlineStr">
        <is>
          <t>graded from final</t>
        </is>
      </c>
      <c r="Y27" t="inlineStr">
        <is>
          <t>N</t>
        </is>
      </c>
      <c r="Z27" t="inlineStr">
        <is>
          <t>https://x.com/BookitWithTrent/status/2087260715086155794</t>
        </is>
      </c>
      <c r="AA27" t="inlineStr">
        <is>
          <t>Part of 8-pick "MLB Whales" card (each pick tracked as its own row)</t>
        </is>
      </c>
      <c r="AB27" t="inlineStr">
        <is>
          <t>Single</t>
        </is>
      </c>
      <c r="AC27" s="5">
        <f>IF(ISNUMBER(V27),Q27,"")</f>
        <v/>
      </c>
      <c r="AD27">
        <f>IF(ISNUMBER(W27),R27,"")</f>
        <v/>
      </c>
    </row>
    <row r="28">
      <c r="A28" t="inlineStr">
        <is>
          <t>T-155794b</t>
        </is>
      </c>
      <c r="B28" t="inlineStr">
        <is>
          <t>Trent</t>
        </is>
      </c>
      <c r="C28" s="2" t="n">
        <v>46245.60541666667</v>
      </c>
      <c r="D28">
        <f>IF(C28="","",TEXT(C28,"dddd"))</f>
        <v/>
      </c>
      <c r="E28" s="3" t="n">
        <v>46245</v>
      </c>
      <c r="F28">
        <f>IF(E28="","",TEXT(E28,"dddd"))</f>
        <v/>
      </c>
      <c r="G28" t="inlineStr">
        <is>
          <t>9:45 PM</t>
        </is>
      </c>
      <c r="H28" t="inlineStr">
        <is>
          <t>N</t>
        </is>
      </c>
      <c r="I28" t="inlineStr"/>
      <c r="J28" t="inlineStr">
        <is>
          <t>MLB</t>
        </is>
      </c>
      <c r="K28" t="inlineStr">
        <is>
          <t>MLB</t>
        </is>
      </c>
      <c r="L28" t="inlineStr">
        <is>
          <t>spread</t>
        </is>
      </c>
      <c r="M28" t="inlineStr">
        <is>
          <t>Astros -1.5</t>
        </is>
      </c>
      <c r="N28" t="n">
        <v>1</v>
      </c>
      <c r="O28" t="inlineStr">
        <is>
          <t>not shown</t>
        </is>
      </c>
      <c r="P28" s="4" t="inlineStr"/>
      <c r="Q28" s="5" t="inlineStr"/>
      <c r="R28" t="inlineStr"/>
      <c r="S28" s="5" t="inlineStr"/>
      <c r="T28" t="inlineStr">
        <is>
          <t>not shown</t>
        </is>
      </c>
      <c r="U28" t="inlineStr">
        <is>
          <t>L</t>
        </is>
      </c>
      <c r="V28" s="5">
        <f>IF(NOT(ISNUMBER(Q28)),"",IF(U28="W",IF(ISNUMBER(S28),S28-Q28,IF(ISNUMBER(P28),Q28*(P28-1),"")),IF(U28="L",-Q28,IF(U28="Push",0,""))))</f>
        <v/>
      </c>
      <c r="W28">
        <f>IF(NOT(ISNUMBER(R28)),"",IF(U28="W",IF(ISNUMBER(P28),R28*(P28-1),""),IF(U28="L",-R28,IF(U28="Push",0,""))))</f>
        <v/>
      </c>
      <c r="X28" t="inlineStr">
        <is>
          <t>graded from final</t>
        </is>
      </c>
      <c r="Y28" t="inlineStr">
        <is>
          <t>N</t>
        </is>
      </c>
      <c r="Z28" t="inlineStr">
        <is>
          <t>https://x.com/BookitWithTrent/status/2087260715086155794</t>
        </is>
      </c>
      <c r="AA28" t="inlineStr">
        <is>
          <t>MLB Whales card</t>
        </is>
      </c>
      <c r="AB28" t="inlineStr">
        <is>
          <t>Single</t>
        </is>
      </c>
      <c r="AC28" s="5">
        <f>IF(ISNUMBER(V28),Q28,"")</f>
        <v/>
      </c>
      <c r="AD28">
        <f>IF(ISNUMBER(W28),R28,"")</f>
        <v/>
      </c>
    </row>
    <row r="29">
      <c r="A29" t="inlineStr">
        <is>
          <t>T-155794c</t>
        </is>
      </c>
      <c r="B29" t="inlineStr">
        <is>
          <t>Trent</t>
        </is>
      </c>
      <c r="C29" s="2" t="n">
        <v>46245.60541666667</v>
      </c>
      <c r="D29">
        <f>IF(C29="","",TEXT(C29,"dddd"))</f>
        <v/>
      </c>
      <c r="E29" s="3" t="n">
        <v>46245</v>
      </c>
      <c r="F29">
        <f>IF(E29="","",TEXT(E29,"dddd"))</f>
        <v/>
      </c>
      <c r="G29" t="inlineStr">
        <is>
          <t>7:40 PM</t>
        </is>
      </c>
      <c r="H29" t="inlineStr">
        <is>
          <t>N</t>
        </is>
      </c>
      <c r="I29" t="inlineStr"/>
      <c r="J29" t="inlineStr">
        <is>
          <t>MLB</t>
        </is>
      </c>
      <c r="K29" t="inlineStr">
        <is>
          <t>MLB</t>
        </is>
      </c>
      <c r="L29" t="inlineStr">
        <is>
          <t>spread</t>
        </is>
      </c>
      <c r="M29" t="inlineStr">
        <is>
          <t>White Sox F5 -0.5</t>
        </is>
      </c>
      <c r="N29" t="n">
        <v>1</v>
      </c>
      <c r="O29" t="inlineStr">
        <is>
          <t>not shown</t>
        </is>
      </c>
      <c r="P29" s="4" t="inlineStr"/>
      <c r="Q29" s="5" t="inlineStr"/>
      <c r="R29" t="inlineStr"/>
      <c r="S29" s="5" t="inlineStr"/>
      <c r="T29" t="inlineStr">
        <is>
          <t>not shown</t>
        </is>
      </c>
      <c r="U29" t="inlineStr">
        <is>
          <t>W</t>
        </is>
      </c>
      <c r="V29" s="5">
        <f>IF(NOT(ISNUMBER(Q29)),"",IF(U29="W",IF(ISNUMBER(S29),S29-Q29,IF(ISNUMBER(P29),Q29*(P29-1),"")),IF(U29="L",-Q29,IF(U29="Push",0,""))))</f>
        <v/>
      </c>
      <c r="W29">
        <f>IF(NOT(ISNUMBER(R29)),"",IF(U29="W",IF(ISNUMBER(P29),R29*(P29-1),""),IF(U29="L",-R29,IF(U29="Push",0,""))))</f>
        <v/>
      </c>
      <c r="X29" t="inlineStr">
        <is>
          <t>graded from final</t>
        </is>
      </c>
      <c r="Y29" t="inlineStr">
        <is>
          <t>N</t>
        </is>
      </c>
      <c r="Z29" t="inlineStr">
        <is>
          <t>https://x.com/BookitWithTrent/status/2087260715086155794</t>
        </is>
      </c>
      <c r="AA29" t="inlineStr">
        <is>
          <t>MLB Whales card</t>
        </is>
      </c>
      <c r="AB29" t="inlineStr">
        <is>
          <t>Single</t>
        </is>
      </c>
      <c r="AC29" s="5">
        <f>IF(ISNUMBER(V29),Q29,"")</f>
        <v/>
      </c>
      <c r="AD29">
        <f>IF(ISNUMBER(W29),R29,"")</f>
        <v/>
      </c>
    </row>
    <row r="30">
      <c r="A30" t="inlineStr">
        <is>
          <t>T-155794d</t>
        </is>
      </c>
      <c r="B30" t="inlineStr">
        <is>
          <t>Trent</t>
        </is>
      </c>
      <c r="C30" s="2" t="n">
        <v>46245.60541666667</v>
      </c>
      <c r="D30">
        <f>IF(C30="","",TEXT(C30,"dddd"))</f>
        <v/>
      </c>
      <c r="E30" s="3" t="n">
        <v>46245</v>
      </c>
      <c r="F30">
        <f>IF(E30="","",TEXT(E30,"dddd"))</f>
        <v/>
      </c>
      <c r="G30" t="inlineStr">
        <is>
          <t>9:38 PM</t>
        </is>
      </c>
      <c r="H30" t="inlineStr">
        <is>
          <t>N</t>
        </is>
      </c>
      <c r="I30" t="inlineStr"/>
      <c r="J30" t="inlineStr">
        <is>
          <t>MLB</t>
        </is>
      </c>
      <c r="K30" t="inlineStr">
        <is>
          <t>MLB</t>
        </is>
      </c>
      <c r="L30" t="inlineStr">
        <is>
          <t>spread</t>
        </is>
      </c>
      <c r="M30" t="inlineStr">
        <is>
          <t>Rangers F5 -0.5</t>
        </is>
      </c>
      <c r="N30" t="n">
        <v>1</v>
      </c>
      <c r="O30" t="inlineStr">
        <is>
          <t>not shown</t>
        </is>
      </c>
      <c r="P30" s="4" t="inlineStr"/>
      <c r="Q30" s="5" t="inlineStr"/>
      <c r="R30" t="inlineStr"/>
      <c r="S30" s="5" t="inlineStr"/>
      <c r="T30" t="inlineStr">
        <is>
          <t>not shown</t>
        </is>
      </c>
      <c r="U30" t="inlineStr">
        <is>
          <t>L</t>
        </is>
      </c>
      <c r="V30" s="5">
        <f>IF(NOT(ISNUMBER(Q30)),"",IF(U30="W",IF(ISNUMBER(S30),S30-Q30,IF(ISNUMBER(P30),Q30*(P30-1),"")),IF(U30="L",-Q30,IF(U30="Push",0,""))))</f>
        <v/>
      </c>
      <c r="W30">
        <f>IF(NOT(ISNUMBER(R30)),"",IF(U30="W",IF(ISNUMBER(P30),R30*(P30-1),""),IF(U30="L",-R30,IF(U30="Push",0,""))))</f>
        <v/>
      </c>
      <c r="X30" t="inlineStr">
        <is>
          <t>graded from final</t>
        </is>
      </c>
      <c r="Y30" t="inlineStr">
        <is>
          <t>N</t>
        </is>
      </c>
      <c r="Z30" t="inlineStr">
        <is>
          <t>https://x.com/BookitWithTrent/status/2087260715086155794</t>
        </is>
      </c>
      <c r="AA30" t="inlineStr">
        <is>
          <t>MLB Whales card</t>
        </is>
      </c>
      <c r="AB30" t="inlineStr">
        <is>
          <t>Single</t>
        </is>
      </c>
      <c r="AC30" s="5">
        <f>IF(ISNUMBER(V30),Q30,"")</f>
        <v/>
      </c>
      <c r="AD30">
        <f>IF(ISNUMBER(W30),R30,"")</f>
        <v/>
      </c>
    </row>
    <row r="31">
      <c r="A31" t="inlineStr">
        <is>
          <t>T-155794e</t>
        </is>
      </c>
      <c r="B31" t="inlineStr">
        <is>
          <t>Trent</t>
        </is>
      </c>
      <c r="C31" s="2" t="n">
        <v>46245.60541666667</v>
      </c>
      <c r="D31">
        <f>IF(C31="","",TEXT(C31,"dddd"))</f>
        <v/>
      </c>
      <c r="E31" s="3" t="n">
        <v>46245</v>
      </c>
      <c r="F31">
        <f>IF(E31="","",TEXT(E31,"dddd"))</f>
        <v/>
      </c>
      <c r="G31" t="inlineStr">
        <is>
          <t>9:40 PM</t>
        </is>
      </c>
      <c r="H31" t="inlineStr">
        <is>
          <t>N</t>
        </is>
      </c>
      <c r="I31" t="inlineStr"/>
      <c r="J31" t="inlineStr">
        <is>
          <t>MLB</t>
        </is>
      </c>
      <c r="K31" t="inlineStr">
        <is>
          <t>MLB</t>
        </is>
      </c>
      <c r="L31" t="inlineStr">
        <is>
          <t>total</t>
        </is>
      </c>
      <c r="M31" t="inlineStr">
        <is>
          <t>Dbacks/Rockies Over 9.5</t>
        </is>
      </c>
      <c r="N31" t="n">
        <v>1</v>
      </c>
      <c r="O31" t="inlineStr">
        <is>
          <t>not shown</t>
        </is>
      </c>
      <c r="P31" s="4" t="inlineStr"/>
      <c r="Q31" s="5" t="inlineStr"/>
      <c r="R31" t="inlineStr"/>
      <c r="S31" s="5" t="inlineStr"/>
      <c r="T31" t="inlineStr">
        <is>
          <t>not shown</t>
        </is>
      </c>
      <c r="U31" t="inlineStr">
        <is>
          <t>L</t>
        </is>
      </c>
      <c r="V31" s="5">
        <f>IF(NOT(ISNUMBER(Q31)),"",IF(U31="W",IF(ISNUMBER(S31),S31-Q31,IF(ISNUMBER(P31),Q31*(P31-1),"")),IF(U31="L",-Q31,IF(U31="Push",0,""))))</f>
        <v/>
      </c>
      <c r="W31">
        <f>IF(NOT(ISNUMBER(R31)),"",IF(U31="W",IF(ISNUMBER(P31),R31*(P31-1),""),IF(U31="L",-R31,IF(U31="Push",0,""))))</f>
        <v/>
      </c>
      <c r="X31" t="inlineStr">
        <is>
          <t>graded from final</t>
        </is>
      </c>
      <c r="Y31" t="inlineStr">
        <is>
          <t>N</t>
        </is>
      </c>
      <c r="Z31" t="inlineStr">
        <is>
          <t>https://x.com/BookitWithTrent/status/2087260715086155794</t>
        </is>
      </c>
      <c r="AA31" t="inlineStr">
        <is>
          <t>MLB Whales card</t>
        </is>
      </c>
      <c r="AB31" t="inlineStr">
        <is>
          <t>Single</t>
        </is>
      </c>
      <c r="AC31" s="5">
        <f>IF(ISNUMBER(V31),Q31,"")</f>
        <v/>
      </c>
      <c r="AD31">
        <f>IF(ISNUMBER(W31),R31,"")</f>
        <v/>
      </c>
    </row>
    <row r="32">
      <c r="A32" t="inlineStr">
        <is>
          <t>T-155794f</t>
        </is>
      </c>
      <c r="B32" t="inlineStr">
        <is>
          <t>Trent</t>
        </is>
      </c>
      <c r="C32" s="2" t="n">
        <v>46245.60541666667</v>
      </c>
      <c r="D32">
        <f>IF(C32="","",TEXT(C32,"dddd"))</f>
        <v/>
      </c>
      <c r="E32" s="3" t="n">
        <v>46245</v>
      </c>
      <c r="F32">
        <f>IF(E32="","",TEXT(E32,"dddd"))</f>
        <v/>
      </c>
      <c r="G32" t="inlineStr">
        <is>
          <t>7:40 PM</t>
        </is>
      </c>
      <c r="H32" t="inlineStr">
        <is>
          <t>N</t>
        </is>
      </c>
      <c r="I32" t="inlineStr"/>
      <c r="J32" t="inlineStr">
        <is>
          <t>MLB</t>
        </is>
      </c>
      <c r="K32" t="inlineStr">
        <is>
          <t>MLB</t>
        </is>
      </c>
      <c r="L32" t="inlineStr">
        <is>
          <t>total</t>
        </is>
      </c>
      <c r="M32" t="inlineStr">
        <is>
          <t>Twins/Orioles Over 9.5</t>
        </is>
      </c>
      <c r="N32" t="n">
        <v>1</v>
      </c>
      <c r="O32" t="inlineStr">
        <is>
          <t>not shown</t>
        </is>
      </c>
      <c r="P32" s="4" t="inlineStr"/>
      <c r="Q32" s="5" t="inlineStr"/>
      <c r="R32" t="inlineStr"/>
      <c r="S32" s="5" t="inlineStr"/>
      <c r="T32" t="inlineStr">
        <is>
          <t>not shown</t>
        </is>
      </c>
      <c r="U32" t="inlineStr">
        <is>
          <t>L</t>
        </is>
      </c>
      <c r="V32" s="5">
        <f>IF(NOT(ISNUMBER(Q32)),"",IF(U32="W",IF(ISNUMBER(S32),S32-Q32,IF(ISNUMBER(P32),Q32*(P32-1),"")),IF(U32="L",-Q32,IF(U32="Push",0,""))))</f>
        <v/>
      </c>
      <c r="W32">
        <f>IF(NOT(ISNUMBER(R32)),"",IF(U32="W",IF(ISNUMBER(P32),R32*(P32-1),""),IF(U32="L",-R32,IF(U32="Push",0,""))))</f>
        <v/>
      </c>
      <c r="X32" t="inlineStr">
        <is>
          <t>graded from final</t>
        </is>
      </c>
      <c r="Y32" t="inlineStr">
        <is>
          <t>N</t>
        </is>
      </c>
      <c r="Z32" t="inlineStr">
        <is>
          <t>https://x.com/BookitWithTrent/status/2087260715086155794</t>
        </is>
      </c>
      <c r="AA32" t="inlineStr">
        <is>
          <t>MLB Whales card</t>
        </is>
      </c>
      <c r="AB32" t="inlineStr">
        <is>
          <t>Single</t>
        </is>
      </c>
      <c r="AC32" s="5">
        <f>IF(ISNUMBER(V32),Q32,"")</f>
        <v/>
      </c>
      <c r="AD32">
        <f>IF(ISNUMBER(W32),R32,"")</f>
        <v/>
      </c>
    </row>
    <row r="33">
      <c r="A33" t="inlineStr">
        <is>
          <t>T-155794g</t>
        </is>
      </c>
      <c r="B33" t="inlineStr">
        <is>
          <t>Trent</t>
        </is>
      </c>
      <c r="C33" s="2" t="n">
        <v>46245.60541666667</v>
      </c>
      <c r="D33">
        <f>IF(C33="","",TEXT(C33,"dddd"))</f>
        <v/>
      </c>
      <c r="E33" s="3" t="n">
        <v>46245</v>
      </c>
      <c r="F33">
        <f>IF(E33="","",TEXT(E33,"dddd"))</f>
        <v/>
      </c>
      <c r="G33" t="inlineStr">
        <is>
          <t>7:15 PM</t>
        </is>
      </c>
      <c r="H33" t="inlineStr">
        <is>
          <t>N</t>
        </is>
      </c>
      <c r="I33" t="inlineStr"/>
      <c r="J33" t="inlineStr">
        <is>
          <t>MLB</t>
        </is>
      </c>
      <c r="K33" t="inlineStr">
        <is>
          <t>MLB</t>
        </is>
      </c>
      <c r="L33" t="inlineStr">
        <is>
          <t>total</t>
        </is>
      </c>
      <c r="M33" t="inlineStr">
        <is>
          <t>Mets/Braves Under 8.5</t>
        </is>
      </c>
      <c r="N33" t="n">
        <v>1</v>
      </c>
      <c r="O33" t="inlineStr">
        <is>
          <t>not shown</t>
        </is>
      </c>
      <c r="P33" s="4" t="inlineStr"/>
      <c r="Q33" s="5" t="inlineStr"/>
      <c r="R33" t="inlineStr"/>
      <c r="S33" s="5" t="inlineStr"/>
      <c r="T33" t="inlineStr">
        <is>
          <t>not shown</t>
        </is>
      </c>
      <c r="U33" t="inlineStr">
        <is>
          <t>W</t>
        </is>
      </c>
      <c r="V33" s="5">
        <f>IF(NOT(ISNUMBER(Q33)),"",IF(U33="W",IF(ISNUMBER(S33),S33-Q33,IF(ISNUMBER(P33),Q33*(P33-1),"")),IF(U33="L",-Q33,IF(U33="Push",0,""))))</f>
        <v/>
      </c>
      <c r="W33">
        <f>IF(NOT(ISNUMBER(R33)),"",IF(U33="W",IF(ISNUMBER(P33),R33*(P33-1),""),IF(U33="L",-R33,IF(U33="Push",0,""))))</f>
        <v/>
      </c>
      <c r="X33" t="inlineStr">
        <is>
          <t>graded from final</t>
        </is>
      </c>
      <c r="Y33" t="inlineStr">
        <is>
          <t>N</t>
        </is>
      </c>
      <c r="Z33" t="inlineStr">
        <is>
          <t>https://x.com/BookitWithTrent/status/2087260715086155794</t>
        </is>
      </c>
      <c r="AA33" t="inlineStr">
        <is>
          <t>MLB Whales card</t>
        </is>
      </c>
      <c r="AB33" t="inlineStr">
        <is>
          <t>Single</t>
        </is>
      </c>
      <c r="AC33" s="5">
        <f>IF(ISNUMBER(V33),Q33,"")</f>
        <v/>
      </c>
      <c r="AD33">
        <f>IF(ISNUMBER(W33),R33,"")</f>
        <v/>
      </c>
    </row>
    <row r="34">
      <c r="A34" t="inlineStr">
        <is>
          <t>T-155794h</t>
        </is>
      </c>
      <c r="B34" t="inlineStr">
        <is>
          <t>Trent</t>
        </is>
      </c>
      <c r="C34" s="2" t="n">
        <v>46245.60541666667</v>
      </c>
      <c r="D34">
        <f>IF(C34="","",TEXT(C34,"dddd"))</f>
        <v/>
      </c>
      <c r="E34" s="3" t="n">
        <v>46245</v>
      </c>
      <c r="F34">
        <f>IF(E34="","",TEXT(E34,"dddd"))</f>
        <v/>
      </c>
      <c r="G34" t="inlineStr">
        <is>
          <t>6:40 PM</t>
        </is>
      </c>
      <c r="H34" t="inlineStr">
        <is>
          <t>N</t>
        </is>
      </c>
      <c r="I34" t="inlineStr"/>
      <c r="J34" t="inlineStr">
        <is>
          <t>MLB</t>
        </is>
      </c>
      <c r="K34" t="inlineStr">
        <is>
          <t>MLB</t>
        </is>
      </c>
      <c r="L34" t="inlineStr">
        <is>
          <t>total</t>
        </is>
      </c>
      <c r="M34" t="inlineStr">
        <is>
          <t>Guardians/Tigers Under 8.5</t>
        </is>
      </c>
      <c r="N34" t="n">
        <v>1</v>
      </c>
      <c r="O34" t="inlineStr">
        <is>
          <t>not shown</t>
        </is>
      </c>
      <c r="P34" s="4" t="inlineStr"/>
      <c r="Q34" s="5" t="inlineStr"/>
      <c r="R34" t="inlineStr"/>
      <c r="S34" s="5" t="inlineStr"/>
      <c r="T34" t="inlineStr">
        <is>
          <t>not shown</t>
        </is>
      </c>
      <c r="U34" t="inlineStr">
        <is>
          <t>L</t>
        </is>
      </c>
      <c r="V34" s="5">
        <f>IF(NOT(ISNUMBER(Q34)),"",IF(U34="W",IF(ISNUMBER(S34),S34-Q34,IF(ISNUMBER(P34),Q34*(P34-1),"")),IF(U34="L",-Q34,IF(U34="Push",0,""))))</f>
        <v/>
      </c>
      <c r="W34">
        <f>IF(NOT(ISNUMBER(R34)),"",IF(U34="W",IF(ISNUMBER(P34),R34*(P34-1),""),IF(U34="L",-R34,IF(U34="Push",0,""))))</f>
        <v/>
      </c>
      <c r="X34" t="inlineStr">
        <is>
          <t>graded from final</t>
        </is>
      </c>
      <c r="Y34" t="inlineStr">
        <is>
          <t>N</t>
        </is>
      </c>
      <c r="Z34" t="inlineStr">
        <is>
          <t>https://x.com/BookitWithTrent/status/2087260715086155794</t>
        </is>
      </c>
      <c r="AA34" t="inlineStr">
        <is>
          <t>MLB Whales card</t>
        </is>
      </c>
      <c r="AB34" t="inlineStr">
        <is>
          <t>Single</t>
        </is>
      </c>
      <c r="AC34" s="5">
        <f>IF(ISNUMBER(V34),Q34,"")</f>
        <v/>
      </c>
      <c r="AD34">
        <f>IF(ISNUMBER(W34),R34,"")</f>
        <v/>
      </c>
    </row>
    <row r="35">
      <c r="A35" t="inlineStr">
        <is>
          <t>T-412111</t>
        </is>
      </c>
      <c r="B35" t="inlineStr">
        <is>
          <t>Trent</t>
        </is>
      </c>
      <c r="C35" s="2" t="n">
        <v>46246.49168981481</v>
      </c>
      <c r="D35">
        <f>IF(C35="","",TEXT(C35,"dddd"))</f>
        <v/>
      </c>
      <c r="E35" s="3" t="n">
        <v>46246</v>
      </c>
      <c r="F35">
        <f>IF(E35="","",TEXT(E35,"dddd"))</f>
        <v/>
      </c>
      <c r="G35" t="inlineStr">
        <is>
          <t>1:40 PM</t>
        </is>
      </c>
      <c r="H35" t="inlineStr">
        <is>
          <t>N</t>
        </is>
      </c>
      <c r="I35" t="inlineStr"/>
      <c r="J35" t="inlineStr">
        <is>
          <t>MLB</t>
        </is>
      </c>
      <c r="K35" t="inlineStr">
        <is>
          <t>MLB</t>
        </is>
      </c>
      <c r="L35" t="inlineStr">
        <is>
          <t>ML</t>
        </is>
      </c>
      <c r="M35" t="inlineStr">
        <is>
          <t>Twins ML</t>
        </is>
      </c>
      <c r="N35" t="n">
        <v>1</v>
      </c>
      <c r="O35" t="inlineStr">
        <is>
          <t>-110</t>
        </is>
      </c>
      <c r="P35" s="4" t="n">
        <v>1.9091</v>
      </c>
      <c r="Q35" s="5" t="inlineStr"/>
      <c r="R35" t="inlineStr"/>
      <c r="S35" s="5" t="inlineStr"/>
      <c r="T35" t="inlineStr">
        <is>
          <t>not shown</t>
        </is>
      </c>
      <c r="U35" t="inlineStr">
        <is>
          <t>W</t>
        </is>
      </c>
      <c r="V35" s="5">
        <f>IF(NOT(ISNUMBER(Q35)),"",IF(U35="W",IF(ISNUMBER(S35),S35-Q35,IF(ISNUMBER(P35),Q35*(P35-1),"")),IF(U35="L",-Q35,IF(U35="Push",0,""))))</f>
        <v/>
      </c>
      <c r="W35">
        <f>IF(NOT(ISNUMBER(R35)),"",IF(U35="W",IF(ISNUMBER(P35),R35*(P35-1),""),IF(U35="L",-R35,IF(U35="Push",0,""))))</f>
        <v/>
      </c>
      <c r="X35" t="inlineStr">
        <is>
          <t>graded from final</t>
        </is>
      </c>
      <c r="Y35" t="inlineStr">
        <is>
          <t>N</t>
        </is>
      </c>
      <c r="Z35" t="inlineStr">
        <is>
          <t>https://x.com/BookitWithTrent/status/2087581889888412111</t>
        </is>
      </c>
      <c r="AA35" t="inlineStr">
        <is>
          <t>Daytime Baseball Megas card</t>
        </is>
      </c>
      <c r="AB35" t="inlineStr">
        <is>
          <t>Single</t>
        </is>
      </c>
      <c r="AC35" s="5">
        <f>IF(ISNUMBER(V35),Q35,"")</f>
        <v/>
      </c>
      <c r="AD35">
        <f>IF(ISNUMBER(W35),R35,"")</f>
        <v/>
      </c>
    </row>
    <row r="36">
      <c r="A36" t="inlineStr">
        <is>
          <t>T-412111b</t>
        </is>
      </c>
      <c r="B36" t="inlineStr">
        <is>
          <t>Trent</t>
        </is>
      </c>
      <c r="C36" s="2" t="n">
        <v>46246.49168981481</v>
      </c>
      <c r="D36">
        <f>IF(C36="","",TEXT(C36,"dddd"))</f>
        <v/>
      </c>
      <c r="E36" s="3" t="n">
        <v>46246</v>
      </c>
      <c r="F36">
        <f>IF(E36="","",TEXT(E36,"dddd"))</f>
        <v/>
      </c>
      <c r="G36" t="inlineStr">
        <is>
          <t>2:15 PM</t>
        </is>
      </c>
      <c r="H36" t="inlineStr">
        <is>
          <t>N</t>
        </is>
      </c>
      <c r="I36" t="inlineStr"/>
      <c r="J36" t="inlineStr">
        <is>
          <t>MLB</t>
        </is>
      </c>
      <c r="K36" t="inlineStr">
        <is>
          <t>MLB</t>
        </is>
      </c>
      <c r="L36" t="inlineStr">
        <is>
          <t>total</t>
        </is>
      </c>
      <c r="M36" t="inlineStr">
        <is>
          <t>Phillies/Cardinals Under 8</t>
        </is>
      </c>
      <c r="N36" t="n">
        <v>1</v>
      </c>
      <c r="O36" t="inlineStr">
        <is>
          <t>-110</t>
        </is>
      </c>
      <c r="P36" s="4" t="n">
        <v>1.9091</v>
      </c>
      <c r="Q36" s="5" t="inlineStr"/>
      <c r="R36" t="inlineStr"/>
      <c r="S36" s="5" t="inlineStr"/>
      <c r="T36" t="inlineStr">
        <is>
          <t>not shown</t>
        </is>
      </c>
      <c r="U36" t="inlineStr">
        <is>
          <t>Push</t>
        </is>
      </c>
      <c r="V36" s="5">
        <f>IF(NOT(ISNUMBER(Q36)),"",IF(U36="W",IF(ISNUMBER(S36),S36-Q36,IF(ISNUMBER(P36),Q36*(P36-1),"")),IF(U36="L",-Q36,IF(U36="Push",0,""))))</f>
        <v/>
      </c>
      <c r="W36">
        <f>IF(NOT(ISNUMBER(R36)),"",IF(U36="W",IF(ISNUMBER(P36),R36*(P36-1),""),IF(U36="L",-R36,IF(U36="Push",0,""))))</f>
        <v/>
      </c>
      <c r="X36" t="inlineStr">
        <is>
          <t>graded from final</t>
        </is>
      </c>
      <c r="Y36" t="inlineStr">
        <is>
          <t>N</t>
        </is>
      </c>
      <c r="Z36" t="inlineStr">
        <is>
          <t>https://x.com/BookitWithTrent/status/2087581889888412111</t>
        </is>
      </c>
      <c r="AA36" t="inlineStr">
        <is>
          <t>Daytime Baseball Megas card</t>
        </is>
      </c>
      <c r="AB36" t="inlineStr">
        <is>
          <t>Single</t>
        </is>
      </c>
      <c r="AC36" s="5">
        <f>IF(ISNUMBER(V36),Q36,"")</f>
        <v/>
      </c>
      <c r="AD36">
        <f>IF(ISNUMBER(W36),R36,"")</f>
        <v/>
      </c>
    </row>
    <row r="37">
      <c r="A37" t="inlineStr">
        <is>
          <t>T-412111c</t>
        </is>
      </c>
      <c r="B37" t="inlineStr">
        <is>
          <t>Trent</t>
        </is>
      </c>
      <c r="C37" s="2" t="n">
        <v>46246.49168981481</v>
      </c>
      <c r="D37">
        <f>IF(C37="","",TEXT(C37,"dddd"))</f>
        <v/>
      </c>
      <c r="E37" s="3" t="n">
        <v>46246</v>
      </c>
      <c r="F37">
        <f>IF(E37="","",TEXT(E37,"dddd"))</f>
        <v/>
      </c>
      <c r="G37" t="inlineStr">
        <is>
          <t>3:05 PM</t>
        </is>
      </c>
      <c r="H37" t="inlineStr">
        <is>
          <t>N</t>
        </is>
      </c>
      <c r="I37" t="inlineStr"/>
      <c r="J37" t="inlineStr">
        <is>
          <t>MLB</t>
        </is>
      </c>
      <c r="K37" t="inlineStr">
        <is>
          <t>MLB</t>
        </is>
      </c>
      <c r="L37" t="inlineStr">
        <is>
          <t>spread</t>
        </is>
      </c>
      <c r="M37" t="inlineStr">
        <is>
          <t>Rays -1.5</t>
        </is>
      </c>
      <c r="N37" t="n">
        <v>1</v>
      </c>
      <c r="O37" t="inlineStr">
        <is>
          <t>-130</t>
        </is>
      </c>
      <c r="P37" s="4" t="n">
        <v>1.7692</v>
      </c>
      <c r="Q37" s="5" t="inlineStr"/>
      <c r="R37" t="inlineStr"/>
      <c r="S37" s="5" t="inlineStr"/>
      <c r="T37" t="inlineStr">
        <is>
          <t>not shown</t>
        </is>
      </c>
      <c r="U37" t="inlineStr">
        <is>
          <t>W</t>
        </is>
      </c>
      <c r="V37" s="5">
        <f>IF(NOT(ISNUMBER(Q37)),"",IF(U37="W",IF(ISNUMBER(S37),S37-Q37,IF(ISNUMBER(P37),Q37*(P37-1),"")),IF(U37="L",-Q37,IF(U37="Push",0,""))))</f>
        <v/>
      </c>
      <c r="W37">
        <f>IF(NOT(ISNUMBER(R37)),"",IF(U37="W",IF(ISNUMBER(P37),R37*(P37-1),""),IF(U37="L",-R37,IF(U37="Push",0,""))))</f>
        <v/>
      </c>
      <c r="X37" t="inlineStr">
        <is>
          <t>graded from final</t>
        </is>
      </c>
      <c r="Y37" t="inlineStr">
        <is>
          <t>N</t>
        </is>
      </c>
      <c r="Z37" t="inlineStr">
        <is>
          <t>https://x.com/BookitWithTrent/status/2087581889888412111</t>
        </is>
      </c>
      <c r="AA37" t="inlineStr">
        <is>
          <t>Daytime Baseball Megas card</t>
        </is>
      </c>
      <c r="AB37" t="inlineStr">
        <is>
          <t>Single</t>
        </is>
      </c>
      <c r="AC37" s="5">
        <f>IF(ISNUMBER(V37),Q37,"")</f>
        <v/>
      </c>
      <c r="AD37">
        <f>IF(ISNUMBER(W37),R37,"")</f>
        <v/>
      </c>
    </row>
    <row r="38">
      <c r="A38" t="inlineStr">
        <is>
          <t>T-412111d</t>
        </is>
      </c>
      <c r="B38" t="inlineStr">
        <is>
          <t>Trent</t>
        </is>
      </c>
      <c r="C38" s="2" t="n">
        <v>46246.49168981481</v>
      </c>
      <c r="D38">
        <f>IF(C38="","",TEXT(C38,"dddd"))</f>
        <v/>
      </c>
      <c r="E38" s="3" t="n">
        <v>46246</v>
      </c>
      <c r="F38">
        <f>IF(E38="","",TEXT(E38,"dddd"))</f>
        <v/>
      </c>
      <c r="G38" t="inlineStr">
        <is>
          <t>3:40 PM</t>
        </is>
      </c>
      <c r="H38" t="inlineStr">
        <is>
          <t>N</t>
        </is>
      </c>
      <c r="I38" t="inlineStr"/>
      <c r="J38" t="inlineStr">
        <is>
          <t>MLB</t>
        </is>
      </c>
      <c r="K38" t="inlineStr">
        <is>
          <t>MLB</t>
        </is>
      </c>
      <c r="L38" t="inlineStr">
        <is>
          <t>total</t>
        </is>
      </c>
      <c r="M38" t="inlineStr">
        <is>
          <t>Rockies/Dbacks Over 9</t>
        </is>
      </c>
      <c r="N38" t="n">
        <v>1</v>
      </c>
      <c r="O38" t="inlineStr">
        <is>
          <t>-110</t>
        </is>
      </c>
      <c r="P38" s="4" t="n">
        <v>1.9091</v>
      </c>
      <c r="Q38" s="5" t="inlineStr"/>
      <c r="R38" t="inlineStr"/>
      <c r="S38" s="5" t="inlineStr"/>
      <c r="T38" t="inlineStr">
        <is>
          <t>not shown</t>
        </is>
      </c>
      <c r="U38" t="inlineStr">
        <is>
          <t>W</t>
        </is>
      </c>
      <c r="V38" s="5">
        <f>IF(NOT(ISNUMBER(Q38)),"",IF(U38="W",IF(ISNUMBER(S38),S38-Q38,IF(ISNUMBER(P38),Q38*(P38-1),"")),IF(U38="L",-Q38,IF(U38="Push",0,""))))</f>
        <v/>
      </c>
      <c r="W38">
        <f>IF(NOT(ISNUMBER(R38)),"",IF(U38="W",IF(ISNUMBER(P38),R38*(P38-1),""),IF(U38="L",-R38,IF(U38="Push",0,""))))</f>
        <v/>
      </c>
      <c r="X38" t="inlineStr">
        <is>
          <t>graded from final</t>
        </is>
      </c>
      <c r="Y38" t="inlineStr">
        <is>
          <t>N</t>
        </is>
      </c>
      <c r="Z38" t="inlineStr">
        <is>
          <t>https://x.com/BookitWithTrent/status/2087581889888412111</t>
        </is>
      </c>
      <c r="AA38" t="inlineStr">
        <is>
          <t>Daytime Baseball Megas card</t>
        </is>
      </c>
      <c r="AB38" t="inlineStr">
        <is>
          <t>Single</t>
        </is>
      </c>
      <c r="AC38" s="5">
        <f>IF(ISNUMBER(V38),Q38,"")</f>
        <v/>
      </c>
      <c r="AD38">
        <f>IF(ISNUMBER(W38),R38,"")</f>
        <v/>
      </c>
    </row>
    <row r="39">
      <c r="A39" t="inlineStr">
        <is>
          <t>T-283140</t>
        </is>
      </c>
      <c r="B39" t="inlineStr">
        <is>
          <t>Trent</t>
        </is>
      </c>
      <c r="C39" s="2" t="n">
        <v>46246.84443287037</v>
      </c>
      <c r="D39">
        <f>IF(C39="","",TEXT(C39,"dddd"))</f>
        <v/>
      </c>
      <c r="E39" s="3" t="n">
        <v>46246</v>
      </c>
      <c r="F39">
        <f>IF(E39="","",TEXT(E39,"dddd"))</f>
        <v/>
      </c>
      <c r="G39" t="inlineStr">
        <is>
          <t>10:10 PM</t>
        </is>
      </c>
      <c r="H39" t="inlineStr">
        <is>
          <t>N</t>
        </is>
      </c>
      <c r="I39" t="inlineStr"/>
      <c r="J39" t="inlineStr">
        <is>
          <t>MLB</t>
        </is>
      </c>
      <c r="K39" t="inlineStr">
        <is>
          <t>MLB</t>
        </is>
      </c>
      <c r="L39" t="inlineStr">
        <is>
          <t>spread</t>
        </is>
      </c>
      <c r="M39" t="inlineStr">
        <is>
          <t>Dodgers -1.5</t>
        </is>
      </c>
      <c r="N39" t="n">
        <v>1</v>
      </c>
      <c r="O39" t="inlineStr">
        <is>
          <t>not shown</t>
        </is>
      </c>
      <c r="P39" s="4" t="inlineStr"/>
      <c r="Q39" s="5" t="inlineStr"/>
      <c r="R39" t="inlineStr"/>
      <c r="S39" s="5" t="inlineStr"/>
      <c r="T39" t="inlineStr">
        <is>
          <t>not shown</t>
        </is>
      </c>
      <c r="U39" t="inlineStr">
        <is>
          <t>W</t>
        </is>
      </c>
      <c r="V39" s="5">
        <f>IF(NOT(ISNUMBER(Q39)),"",IF(U39="W",IF(ISNUMBER(S39),S39-Q39,IF(ISNUMBER(P39),Q39*(P39-1),"")),IF(U39="L",-Q39,IF(U39="Push",0,""))))</f>
        <v/>
      </c>
      <c r="W39">
        <f>IF(NOT(ISNUMBER(R39)),"",IF(U39="W",IF(ISNUMBER(P39),R39*(P39-1),""),IF(U39="L",-R39,IF(U39="Push",0,""))))</f>
        <v/>
      </c>
      <c r="X39" t="inlineStr">
        <is>
          <t>posted</t>
        </is>
      </c>
      <c r="Y39" t="inlineStr">
        <is>
          <t>N</t>
        </is>
      </c>
      <c r="Z39" t="inlineStr">
        <is>
          <t>https://x.com/BookitWithTrent/status/2087709718890283140</t>
        </is>
      </c>
      <c r="AA39" t="inlineStr">
        <is>
          <t>"Mega max"; "AFTER 11 GAMES IT FINALLY CASHED"</t>
        </is>
      </c>
      <c r="AB39" t="inlineStr">
        <is>
          <t>Single</t>
        </is>
      </c>
      <c r="AC39" s="5">
        <f>IF(ISNUMBER(V39),Q39,"")</f>
        <v/>
      </c>
      <c r="AD39">
        <f>IF(ISNUMBER(W39),R39,"")</f>
        <v/>
      </c>
    </row>
    <row r="40">
      <c r="A40" t="inlineStr">
        <is>
          <t>T-523783</t>
        </is>
      </c>
      <c r="B40" t="inlineStr">
        <is>
          <t>Trent</t>
        </is>
      </c>
      <c r="C40" s="2" t="n">
        <v>46247.49103009259</v>
      </c>
      <c r="D40">
        <f>IF(C40="","",TEXT(C40,"dddd"))</f>
        <v/>
      </c>
      <c r="E40" s="3" t="n">
        <v>46247</v>
      </c>
      <c r="F40">
        <f>IF(E40="","",TEXT(E40,"dddd"))</f>
        <v/>
      </c>
      <c r="G40" t="inlineStr">
        <is>
          <t>1:10 PM</t>
        </is>
      </c>
      <c r="H40" t="inlineStr">
        <is>
          <t>N</t>
        </is>
      </c>
      <c r="I40" t="inlineStr"/>
      <c r="J40" t="inlineStr">
        <is>
          <t>MLB</t>
        </is>
      </c>
      <c r="K40" t="inlineStr">
        <is>
          <t>MLB</t>
        </is>
      </c>
      <c r="L40" t="inlineStr">
        <is>
          <t>ML</t>
        </is>
      </c>
      <c r="M40" t="inlineStr">
        <is>
          <t>Pirates ML</t>
        </is>
      </c>
      <c r="N40" t="n">
        <v>1</v>
      </c>
      <c r="O40" t="inlineStr">
        <is>
          <t>not shown</t>
        </is>
      </c>
      <c r="P40" s="4" t="inlineStr"/>
      <c r="Q40" s="5" t="inlineStr"/>
      <c r="R40" t="inlineStr"/>
      <c r="S40" s="5" t="inlineStr"/>
      <c r="T40" t="inlineStr">
        <is>
          <t>not shown</t>
        </is>
      </c>
      <c r="U40" t="inlineStr">
        <is>
          <t>W</t>
        </is>
      </c>
      <c r="V40" s="5">
        <f>IF(NOT(ISNUMBER(Q40)),"",IF(U40="W",IF(ISNUMBER(S40),S40-Q40,IF(ISNUMBER(P40),Q40*(P40-1),"")),IF(U40="L",-Q40,IF(U40="Push",0,""))))</f>
        <v/>
      </c>
      <c r="W40">
        <f>IF(NOT(ISNUMBER(R40)),"",IF(U40="W",IF(ISNUMBER(P40),R40*(P40-1),""),IF(U40="L",-R40,IF(U40="Push",0,""))))</f>
        <v/>
      </c>
      <c r="X40" t="inlineStr">
        <is>
          <t>posted</t>
        </is>
      </c>
      <c r="Y40" t="inlineStr">
        <is>
          <t>N</t>
        </is>
      </c>
      <c r="Z40" t="inlineStr">
        <is>
          <t>https://x.com/BookitWithTrent/status/2087944039148523783</t>
        </is>
      </c>
      <c r="AA40" t="inlineStr">
        <is>
          <t>Daytime card; recap 116961 (4-1)</t>
        </is>
      </c>
      <c r="AB40" t="inlineStr">
        <is>
          <t>Single</t>
        </is>
      </c>
      <c r="AC40" s="5">
        <f>IF(ISNUMBER(V40),Q40,"")</f>
        <v/>
      </c>
      <c r="AD40">
        <f>IF(ISNUMBER(W40),R40,"")</f>
        <v/>
      </c>
    </row>
    <row r="41">
      <c r="A41" t="inlineStr">
        <is>
          <t>T-523783b</t>
        </is>
      </c>
      <c r="B41" t="inlineStr">
        <is>
          <t>Trent</t>
        </is>
      </c>
      <c r="C41" s="2" t="n">
        <v>46247.49103009259</v>
      </c>
      <c r="D41">
        <f>IF(C41="","",TEXT(C41,"dddd"))</f>
        <v/>
      </c>
      <c r="E41" s="3" t="n">
        <v>46247</v>
      </c>
      <c r="F41">
        <f>IF(E41="","",TEXT(E41,"dddd"))</f>
        <v/>
      </c>
      <c r="G41" t="inlineStr">
        <is>
          <t>1:10 PM</t>
        </is>
      </c>
      <c r="H41" t="inlineStr">
        <is>
          <t>N</t>
        </is>
      </c>
      <c r="I41" t="inlineStr"/>
      <c r="J41" t="inlineStr">
        <is>
          <t>MLB</t>
        </is>
      </c>
      <c r="K41" t="inlineStr">
        <is>
          <t>MLB</t>
        </is>
      </c>
      <c r="L41" t="inlineStr">
        <is>
          <t>ML</t>
        </is>
      </c>
      <c r="M41" t="inlineStr">
        <is>
          <t>Guardians ML</t>
        </is>
      </c>
      <c r="N41" t="n">
        <v>1</v>
      </c>
      <c r="O41" t="inlineStr">
        <is>
          <t>not shown</t>
        </is>
      </c>
      <c r="P41" s="4" t="inlineStr"/>
      <c r="Q41" s="5" t="inlineStr"/>
      <c r="R41" t="inlineStr"/>
      <c r="S41" s="5" t="inlineStr"/>
      <c r="T41" t="inlineStr">
        <is>
          <t>not shown</t>
        </is>
      </c>
      <c r="U41" t="inlineStr">
        <is>
          <t>L</t>
        </is>
      </c>
      <c r="V41" s="5">
        <f>IF(NOT(ISNUMBER(Q41)),"",IF(U41="W",IF(ISNUMBER(S41),S41-Q41,IF(ISNUMBER(P41),Q41*(P41-1),"")),IF(U41="L",-Q41,IF(U41="Push",0,""))))</f>
        <v/>
      </c>
      <c r="W41">
        <f>IF(NOT(ISNUMBER(R41)),"",IF(U41="W",IF(ISNUMBER(P41),R41*(P41-1),""),IF(U41="L",-R41,IF(U41="Push",0,""))))</f>
        <v/>
      </c>
      <c r="X41" t="inlineStr">
        <is>
          <t>posted</t>
        </is>
      </c>
      <c r="Y41" t="inlineStr">
        <is>
          <t>N</t>
        </is>
      </c>
      <c r="Z41" t="inlineStr">
        <is>
          <t>https://x.com/BookitWithTrent/status/2087944039148523783</t>
        </is>
      </c>
      <c r="AA41" t="inlineStr">
        <is>
          <t>Daytime card; recap 116961</t>
        </is>
      </c>
      <c r="AB41" t="inlineStr">
        <is>
          <t>Single</t>
        </is>
      </c>
      <c r="AC41" s="5">
        <f>IF(ISNUMBER(V41),Q41,"")</f>
        <v/>
      </c>
      <c r="AD41">
        <f>IF(ISNUMBER(W41),R41,"")</f>
        <v/>
      </c>
    </row>
    <row r="42">
      <c r="A42" t="inlineStr">
        <is>
          <t>T-523783c</t>
        </is>
      </c>
      <c r="B42" t="inlineStr">
        <is>
          <t>Trent</t>
        </is>
      </c>
      <c r="C42" s="2" t="n">
        <v>46247.49103009259</v>
      </c>
      <c r="D42">
        <f>IF(C42="","",TEXT(C42,"dddd"))</f>
        <v/>
      </c>
      <c r="E42" s="3" t="n">
        <v>46247</v>
      </c>
      <c r="F42">
        <f>IF(E42="","",TEXT(E42,"dddd"))</f>
        <v/>
      </c>
      <c r="G42" t="inlineStr">
        <is>
          <t>1:35 PM</t>
        </is>
      </c>
      <c r="H42" t="inlineStr">
        <is>
          <t>N</t>
        </is>
      </c>
      <c r="I42" t="inlineStr"/>
      <c r="J42" t="inlineStr">
        <is>
          <t>MLB</t>
        </is>
      </c>
      <c r="K42" t="inlineStr">
        <is>
          <t>MLB</t>
        </is>
      </c>
      <c r="L42" t="inlineStr">
        <is>
          <t>total</t>
        </is>
      </c>
      <c r="M42" t="inlineStr">
        <is>
          <t>Yankees/Mariners Under 7.5</t>
        </is>
      </c>
      <c r="N42" t="n">
        <v>1</v>
      </c>
      <c r="O42" t="inlineStr">
        <is>
          <t>not shown</t>
        </is>
      </c>
      <c r="P42" s="4" t="inlineStr"/>
      <c r="Q42" s="5" t="inlineStr"/>
      <c r="R42" t="inlineStr"/>
      <c r="S42" s="5" t="inlineStr"/>
      <c r="T42" t="inlineStr">
        <is>
          <t>not shown</t>
        </is>
      </c>
      <c r="U42" t="inlineStr">
        <is>
          <t>W</t>
        </is>
      </c>
      <c r="V42" s="5">
        <f>IF(NOT(ISNUMBER(Q42)),"",IF(U42="W",IF(ISNUMBER(S42),S42-Q42,IF(ISNUMBER(P42),Q42*(P42-1),"")),IF(U42="L",-Q42,IF(U42="Push",0,""))))</f>
        <v/>
      </c>
      <c r="W42">
        <f>IF(NOT(ISNUMBER(R42)),"",IF(U42="W",IF(ISNUMBER(P42),R42*(P42-1),""),IF(U42="L",-R42,IF(U42="Push",0,""))))</f>
        <v/>
      </c>
      <c r="X42" t="inlineStr">
        <is>
          <t>posted</t>
        </is>
      </c>
      <c r="Y42" t="inlineStr">
        <is>
          <t>N</t>
        </is>
      </c>
      <c r="Z42" t="inlineStr">
        <is>
          <t>https://x.com/BookitWithTrent/status/2087944039148523783</t>
        </is>
      </c>
      <c r="AA42" t="inlineStr">
        <is>
          <t>Daytime card; recap 116961</t>
        </is>
      </c>
      <c r="AB42" t="inlineStr">
        <is>
          <t>Single</t>
        </is>
      </c>
      <c r="AC42" s="5">
        <f>IF(ISNUMBER(V42),Q42,"")</f>
        <v/>
      </c>
      <c r="AD42">
        <f>IF(ISNUMBER(W42),R42,"")</f>
        <v/>
      </c>
    </row>
    <row r="43">
      <c r="A43" t="inlineStr">
        <is>
          <t>T-523783d</t>
        </is>
      </c>
      <c r="B43" t="inlineStr">
        <is>
          <t>Trent</t>
        </is>
      </c>
      <c r="C43" s="2" t="n">
        <v>46247.49103009259</v>
      </c>
      <c r="D43">
        <f>IF(C43="","",TEXT(C43,"dddd"))</f>
        <v/>
      </c>
      <c r="E43" s="3" t="n">
        <v>46247</v>
      </c>
      <c r="F43">
        <f>IF(E43="","",TEXT(E43,"dddd"))</f>
        <v/>
      </c>
      <c r="G43" t="inlineStr">
        <is>
          <t>1:10 PM</t>
        </is>
      </c>
      <c r="H43" t="inlineStr">
        <is>
          <t>N</t>
        </is>
      </c>
      <c r="I43" t="inlineStr"/>
      <c r="J43" t="inlineStr">
        <is>
          <t>MLB</t>
        </is>
      </c>
      <c r="K43" t="inlineStr">
        <is>
          <t>MLB</t>
        </is>
      </c>
      <c r="L43" t="inlineStr">
        <is>
          <t>total</t>
        </is>
      </c>
      <c r="M43" t="inlineStr">
        <is>
          <t>Reds/White Sox Over 8.5</t>
        </is>
      </c>
      <c r="N43" t="n">
        <v>1</v>
      </c>
      <c r="O43" t="inlineStr">
        <is>
          <t>not shown</t>
        </is>
      </c>
      <c r="P43" s="4" t="inlineStr"/>
      <c r="Q43" s="5" t="inlineStr"/>
      <c r="R43" t="inlineStr"/>
      <c r="S43" s="5" t="inlineStr"/>
      <c r="T43" t="inlineStr">
        <is>
          <t>not shown</t>
        </is>
      </c>
      <c r="U43" t="inlineStr">
        <is>
          <t>W</t>
        </is>
      </c>
      <c r="V43" s="5">
        <f>IF(NOT(ISNUMBER(Q43)),"",IF(U43="W",IF(ISNUMBER(S43),S43-Q43,IF(ISNUMBER(P43),Q43*(P43-1),"")),IF(U43="L",-Q43,IF(U43="Push",0,""))))</f>
        <v/>
      </c>
      <c r="W43">
        <f>IF(NOT(ISNUMBER(R43)),"",IF(U43="W",IF(ISNUMBER(P43),R43*(P43-1),""),IF(U43="L",-R43,IF(U43="Push",0,""))))</f>
        <v/>
      </c>
      <c r="X43" t="inlineStr">
        <is>
          <t>posted</t>
        </is>
      </c>
      <c r="Y43" t="inlineStr">
        <is>
          <t>N</t>
        </is>
      </c>
      <c r="Z43" t="inlineStr">
        <is>
          <t>https://x.com/BookitWithTrent/status/2087944039148523783</t>
        </is>
      </c>
      <c r="AA43" t="inlineStr">
        <is>
          <t>Daytime card; recap 116961</t>
        </is>
      </c>
      <c r="AB43" t="inlineStr">
        <is>
          <t>Single</t>
        </is>
      </c>
      <c r="AC43" s="5">
        <f>IF(ISNUMBER(V43),Q43,"")</f>
        <v/>
      </c>
      <c r="AD43">
        <f>IF(ISNUMBER(W43),R43,"")</f>
        <v/>
      </c>
    </row>
    <row r="44">
      <c r="A44" t="inlineStr">
        <is>
          <t>T-523783e</t>
        </is>
      </c>
      <c r="B44" t="inlineStr">
        <is>
          <t>Trent</t>
        </is>
      </c>
      <c r="C44" s="2" t="n">
        <v>46247.49103009259</v>
      </c>
      <c r="D44">
        <f>IF(C44="","",TEXT(C44,"dddd"))</f>
        <v/>
      </c>
      <c r="E44" s="3" t="n">
        <v>46247</v>
      </c>
      <c r="F44">
        <f>IF(E44="","",TEXT(E44,"dddd"))</f>
        <v/>
      </c>
      <c r="G44" t="inlineStr">
        <is>
          <t>3:07 PM</t>
        </is>
      </c>
      <c r="H44" t="inlineStr">
        <is>
          <t>N</t>
        </is>
      </c>
      <c r="I44" t="inlineStr"/>
      <c r="J44" t="inlineStr">
        <is>
          <t>MLB</t>
        </is>
      </c>
      <c r="K44" t="inlineStr">
        <is>
          <t>MLB</t>
        </is>
      </c>
      <c r="L44" t="inlineStr">
        <is>
          <t>spread</t>
        </is>
      </c>
      <c r="M44" t="inlineStr">
        <is>
          <t>Red Sox F5 -0.5</t>
        </is>
      </c>
      <c r="N44" t="n">
        <v>1</v>
      </c>
      <c r="O44" t="inlineStr">
        <is>
          <t>not shown</t>
        </is>
      </c>
      <c r="P44" s="4" t="inlineStr"/>
      <c r="Q44" s="5" t="inlineStr"/>
      <c r="R44" t="inlineStr"/>
      <c r="S44" s="5" t="inlineStr"/>
      <c r="T44" t="inlineStr">
        <is>
          <t>not shown</t>
        </is>
      </c>
      <c r="U44" t="inlineStr">
        <is>
          <t>W</t>
        </is>
      </c>
      <c r="V44" s="5">
        <f>IF(NOT(ISNUMBER(Q44)),"",IF(U44="W",IF(ISNUMBER(S44),S44-Q44,IF(ISNUMBER(P44),Q44*(P44-1),"")),IF(U44="L",-Q44,IF(U44="Push",0,""))))</f>
        <v/>
      </c>
      <c r="W44">
        <f>IF(NOT(ISNUMBER(R44)),"",IF(U44="W",IF(ISNUMBER(P44),R44*(P44-1),""),IF(U44="L",-R44,IF(U44="Push",0,""))))</f>
        <v/>
      </c>
      <c r="X44" t="inlineStr">
        <is>
          <t>posted</t>
        </is>
      </c>
      <c r="Y44" t="inlineStr">
        <is>
          <t>N</t>
        </is>
      </c>
      <c r="Z44" t="inlineStr">
        <is>
          <t>https://x.com/BookitWithTrent/status/2087944039148523783</t>
        </is>
      </c>
      <c r="AA44" t="inlineStr">
        <is>
          <t>Daytime card; recap 116961</t>
        </is>
      </c>
      <c r="AB44" t="inlineStr">
        <is>
          <t>Single</t>
        </is>
      </c>
      <c r="AC44" s="5">
        <f>IF(ISNUMBER(V44),Q44,"")</f>
        <v/>
      </c>
      <c r="AD44">
        <f>IF(ISNUMBER(W44),R44,"")</f>
        <v/>
      </c>
    </row>
    <row r="45">
      <c r="A45" t="inlineStr">
        <is>
          <t>T-400677</t>
        </is>
      </c>
      <c r="B45" t="inlineStr">
        <is>
          <t>Trent</t>
        </is>
      </c>
      <c r="C45" s="2" t="n">
        <v>46247.61962962963</v>
      </c>
      <c r="D45">
        <f>IF(C45="","",TEXT(C45,"dddd"))</f>
        <v/>
      </c>
      <c r="E45" s="3" t="n">
        <v>46247</v>
      </c>
      <c r="F45">
        <f>IF(E45="","",TEXT(E45,"dddd"))</f>
        <v/>
      </c>
      <c r="G45" t="inlineStr">
        <is>
          <t>7:30 PM</t>
        </is>
      </c>
      <c r="H45" t="inlineStr">
        <is>
          <t>N</t>
        </is>
      </c>
      <c r="I45" t="inlineStr"/>
      <c r="J45" t="inlineStr">
        <is>
          <t>MLB</t>
        </is>
      </c>
      <c r="K45" t="inlineStr">
        <is>
          <t>MLB</t>
        </is>
      </c>
      <c r="L45" t="inlineStr">
        <is>
          <t>prop</t>
        </is>
      </c>
      <c r="M45" t="inlineStr">
        <is>
          <t>NRFI Phillies vs Twins (Field of Dreams)</t>
        </is>
      </c>
      <c r="N45" t="n">
        <v>1</v>
      </c>
      <c r="O45" t="inlineStr">
        <is>
          <t>+100</t>
        </is>
      </c>
      <c r="P45" s="4" t="n">
        <v>2</v>
      </c>
      <c r="Q45" s="5" t="inlineStr"/>
      <c r="R45" t="n">
        <v>10</v>
      </c>
      <c r="S45" s="5" t="inlineStr"/>
      <c r="T45" t="inlineStr">
        <is>
          <t>not shown</t>
        </is>
      </c>
      <c r="U45" t="inlineStr">
        <is>
          <t>L</t>
        </is>
      </c>
      <c r="V45" s="5">
        <f>IF(NOT(ISNUMBER(Q45)),"",IF(U45="W",IF(ISNUMBER(S45),S45-Q45,IF(ISNUMBER(P45),Q45*(P45-1),"")),IF(U45="L",-Q45,IF(U45="Push",0,""))))</f>
        <v/>
      </c>
      <c r="W45">
        <f>IF(NOT(ISNUMBER(R45)),"",IF(U45="W",IF(ISNUMBER(P45),R45*(P45-1),""),IF(U45="L",-R45,IF(U45="Push",0,""))))</f>
        <v/>
      </c>
      <c r="X45" t="inlineStr">
        <is>
          <t>posted</t>
        </is>
      </c>
      <c r="Y45" t="inlineStr">
        <is>
          <t>N</t>
        </is>
      </c>
      <c r="Z45" t="inlineStr">
        <is>
          <t>https://x.com/BookitWithTrent/status/2087990640336400677</t>
        </is>
      </c>
      <c r="AA45" t="inlineStr">
        <is>
          <t>10U MAX; Schwarber 1st-inning HR ("NRFI was the worst wager ever placed")</t>
        </is>
      </c>
      <c r="AB45" t="inlineStr">
        <is>
          <t>Single</t>
        </is>
      </c>
      <c r="AC45" s="5">
        <f>IF(ISNUMBER(V45),Q45,"")</f>
        <v/>
      </c>
      <c r="AD45">
        <f>IF(ISNUMBER(W45),R45,"")</f>
        <v/>
      </c>
    </row>
    <row r="46">
      <c r="A46" t="inlineStr">
        <is>
          <t>T-993518</t>
        </is>
      </c>
      <c r="B46" t="inlineStr">
        <is>
          <t>Trent</t>
        </is>
      </c>
      <c r="C46" s="2" t="n">
        <v>46248.45971064815</v>
      </c>
      <c r="D46">
        <f>IF(C46="","",TEXT(C46,"dddd"))</f>
        <v/>
      </c>
      <c r="E46" s="3" t="n">
        <v>46248</v>
      </c>
      <c r="F46">
        <f>IF(E46="","",TEXT(E46,"dddd"))</f>
        <v/>
      </c>
      <c r="G46" t="inlineStr">
        <is>
          <t>2:20 PM</t>
        </is>
      </c>
      <c r="H46" t="inlineStr">
        <is>
          <t>N</t>
        </is>
      </c>
      <c r="I46" t="inlineStr"/>
      <c r="J46" t="inlineStr">
        <is>
          <t>MLB</t>
        </is>
      </c>
      <c r="K46" t="inlineStr">
        <is>
          <t>MLB</t>
        </is>
      </c>
      <c r="L46" t="inlineStr">
        <is>
          <t>spread</t>
        </is>
      </c>
      <c r="M46" t="inlineStr">
        <is>
          <t>Cubs -1.5</t>
        </is>
      </c>
      <c r="N46" t="n">
        <v>1</v>
      </c>
      <c r="O46" t="inlineStr">
        <is>
          <t>+115</t>
        </is>
      </c>
      <c r="P46" s="4" t="n">
        <v>2.15</v>
      </c>
      <c r="Q46" s="5" t="inlineStr"/>
      <c r="R46" t="inlineStr"/>
      <c r="S46" s="5" t="inlineStr"/>
      <c r="T46" t="inlineStr">
        <is>
          <t>not shown</t>
        </is>
      </c>
      <c r="U46" t="inlineStr">
        <is>
          <t>W</t>
        </is>
      </c>
      <c r="V46" s="5">
        <f>IF(NOT(ISNUMBER(Q46)),"",IF(U46="W",IF(ISNUMBER(S46),S46-Q46,IF(ISNUMBER(P46),Q46*(P46-1),"")),IF(U46="L",-Q46,IF(U46="Push",0,""))))</f>
        <v/>
      </c>
      <c r="W46">
        <f>IF(NOT(ISNUMBER(R46)),"",IF(U46="W",IF(ISNUMBER(P46),R46*(P46-1),""),IF(U46="L",-R46,IF(U46="Push",0,""))))</f>
        <v/>
      </c>
      <c r="X46" t="inlineStr">
        <is>
          <t>graded from final</t>
        </is>
      </c>
      <c r="Y46" t="inlineStr">
        <is>
          <t>N</t>
        </is>
      </c>
      <c r="Z46" t="inlineStr">
        <is>
          <t>https://x.com/BookitWithTrent/status/2088295075381993518</t>
        </is>
      </c>
      <c r="AA46" t="inlineStr">
        <is>
          <t>"Daytime Baseball Mortal Mega Max"</t>
        </is>
      </c>
      <c r="AB46" t="inlineStr">
        <is>
          <t>Single</t>
        </is>
      </c>
      <c r="AC46" s="5">
        <f>IF(ISNUMBER(V46),Q46,"")</f>
        <v/>
      </c>
      <c r="AD46">
        <f>IF(ISNUMBER(W46),R46,"")</f>
        <v/>
      </c>
    </row>
    <row r="47">
      <c r="A47" t="inlineStr">
        <is>
          <t>T-664446</t>
        </is>
      </c>
      <c r="B47" t="inlineStr">
        <is>
          <t>Trent</t>
        </is>
      </c>
      <c r="C47" s="2" t="n">
        <v>46248.53199074074</v>
      </c>
      <c r="D47">
        <f>IF(C47="","",TEXT(C47,"dddd"))</f>
        <v/>
      </c>
      <c r="E47" s="3" t="n">
        <v>46248</v>
      </c>
      <c r="F47">
        <f>IF(E47="","",TEXT(E47,"dddd"))</f>
        <v/>
      </c>
      <c r="G47" t="inlineStr">
        <is>
          <t>not matched</t>
        </is>
      </c>
      <c r="H47" t="inlineStr">
        <is>
          <t>N</t>
        </is>
      </c>
      <c r="I47" t="inlineStr"/>
      <c r="J47" t="inlineStr">
        <is>
          <t>Other</t>
        </is>
      </c>
      <c r="K47" t="inlineStr">
        <is>
          <t>Horse racing (Woodbine)</t>
        </is>
      </c>
      <c r="L47" t="inlineStr">
        <is>
          <t>other</t>
        </is>
      </c>
      <c r="M47" t="inlineStr">
        <is>
          <t>Exacta (horses not shown)</t>
        </is>
      </c>
      <c r="N47" t="n">
        <v>1</v>
      </c>
      <c r="O47" t="inlineStr">
        <is>
          <t>not shown</t>
        </is>
      </c>
      <c r="P47" s="4" t="inlineStr"/>
      <c r="Q47" s="5" t="inlineStr"/>
      <c r="R47" t="inlineStr"/>
      <c r="S47" s="5" t="n">
        <v>3000</v>
      </c>
      <c r="T47" t="inlineStr">
        <is>
          <t>not shown</t>
        </is>
      </c>
      <c r="U47" t="inlineStr">
        <is>
          <t>W</t>
        </is>
      </c>
      <c r="V47" s="5">
        <f>IF(NOT(ISNUMBER(Q47)),"",IF(U47="W",IF(ISNUMBER(S47),S47-Q47,IF(ISNUMBER(P47),Q47*(P47-1),"")),IF(U47="L",-Q47,IF(U47="Push",0,""))))</f>
        <v/>
      </c>
      <c r="W47">
        <f>IF(NOT(ISNUMBER(R47)),"",IF(U47="W",IF(ISNUMBER(P47),R47*(P47-1),""),IF(U47="L",-R47,IF(U47="Push",0,""))))</f>
        <v/>
      </c>
      <c r="X47" t="inlineStr">
        <is>
          <t>posted</t>
        </is>
      </c>
      <c r="Y47" t="inlineStr">
        <is>
          <t>N</t>
        </is>
      </c>
      <c r="Z47" t="inlineStr">
        <is>
          <t>https://x.com/BookitWithTrent/status/2088321270584664446</t>
        </is>
      </c>
      <c r="AA47" t="inlineStr">
        <is>
          <t>Exacta tip from @RealGootzHall "cashed and paid out $3,000"; stake not shown; Game date assumed = post date (CT)</t>
        </is>
      </c>
      <c r="AB47" t="inlineStr">
        <is>
          <t>Single</t>
        </is>
      </c>
      <c r="AC47" s="5">
        <f>IF(ISNUMBER(V47),Q47,"")</f>
        <v/>
      </c>
      <c r="AD47">
        <f>IF(ISNUMBER(W47),R47,"")</f>
        <v/>
      </c>
    </row>
    <row r="48">
      <c r="A48" t="inlineStr">
        <is>
          <t>T-938901</t>
        </is>
      </c>
      <c r="B48" t="inlineStr">
        <is>
          <t>Trent</t>
        </is>
      </c>
      <c r="C48" s="2" t="n">
        <v>46248.6905787037</v>
      </c>
      <c r="D48">
        <f>IF(C48="","",TEXT(C48,"dddd"))</f>
        <v/>
      </c>
      <c r="E48" s="3" t="n">
        <v>46248</v>
      </c>
      <c r="F48">
        <f>IF(E48="","",TEXT(E48,"dddd"))</f>
        <v/>
      </c>
      <c r="G48" t="inlineStr">
        <is>
          <t>7:15 PM</t>
        </is>
      </c>
      <c r="H48" t="inlineStr">
        <is>
          <t>N</t>
        </is>
      </c>
      <c r="I48" t="inlineStr"/>
      <c r="J48" t="inlineStr">
        <is>
          <t>MLB</t>
        </is>
      </c>
      <c r="K48" t="inlineStr">
        <is>
          <t>MLB</t>
        </is>
      </c>
      <c r="L48" t="inlineStr">
        <is>
          <t>ML</t>
        </is>
      </c>
      <c r="M48" t="inlineStr">
        <is>
          <t>Blue Jays ML</t>
        </is>
      </c>
      <c r="N48" t="n">
        <v>1</v>
      </c>
      <c r="O48" t="inlineStr">
        <is>
          <t>+130</t>
        </is>
      </c>
      <c r="P48" s="4" t="n">
        <v>2.3</v>
      </c>
      <c r="Q48" s="5" t="inlineStr"/>
      <c r="R48" t="n">
        <v>10</v>
      </c>
      <c r="S48" s="5" t="inlineStr"/>
      <c r="T48" t="inlineStr">
        <is>
          <t>not shown</t>
        </is>
      </c>
      <c r="U48" t="inlineStr">
        <is>
          <t>W</t>
        </is>
      </c>
      <c r="V48" s="5">
        <f>IF(NOT(ISNUMBER(Q48)),"",IF(U48="W",IF(ISNUMBER(S48),S48-Q48,IF(ISNUMBER(P48),Q48*(P48-1),"")),IF(U48="L",-Q48,IF(U48="Push",0,""))))</f>
        <v/>
      </c>
      <c r="W48">
        <f>IF(NOT(ISNUMBER(R48)),"",IF(U48="W",IF(ISNUMBER(P48),R48*(P48-1),""),IF(U48="L",-R48,IF(U48="Push",0,""))))</f>
        <v/>
      </c>
      <c r="X48" t="inlineStr">
        <is>
          <t>graded from final</t>
        </is>
      </c>
      <c r="Y48" t="inlineStr">
        <is>
          <t>N</t>
        </is>
      </c>
      <c r="Z48" t="inlineStr">
        <is>
          <t>https://x.com/BookitWithTrent/status/2088378739704938901</t>
        </is>
      </c>
      <c r="AA48" t="inlineStr">
        <is>
          <t>"Friday Night Mortal Mega Max" 10U</t>
        </is>
      </c>
      <c r="AB48" t="inlineStr">
        <is>
          <t>Single</t>
        </is>
      </c>
      <c r="AC48" s="5">
        <f>IF(ISNUMBER(V48),Q48,"")</f>
        <v/>
      </c>
      <c r="AD48">
        <f>IF(ISNUMBER(W48),R48,"")</f>
        <v/>
      </c>
    </row>
    <row r="49">
      <c r="A49" t="inlineStr">
        <is>
          <t>T-230793</t>
        </is>
      </c>
      <c r="B49" t="inlineStr">
        <is>
          <t>Trent</t>
        </is>
      </c>
      <c r="C49" s="2" t="n">
        <v>46248.73380787037</v>
      </c>
      <c r="D49">
        <f>IF(C49="","",TEXT(C49,"dddd"))</f>
        <v/>
      </c>
      <c r="E49" s="3" t="n">
        <v>46248</v>
      </c>
      <c r="F49">
        <f>IF(E49="","",TEXT(E49,"dddd"))</f>
        <v/>
      </c>
      <c r="G49" t="inlineStr">
        <is>
          <t>not matched</t>
        </is>
      </c>
      <c r="H49" t="inlineStr">
        <is>
          <t>N</t>
        </is>
      </c>
      <c r="I49" t="inlineStr"/>
      <c r="J49" t="inlineStr">
        <is>
          <t>MLB</t>
        </is>
      </c>
      <c r="K49" t="inlineStr">
        <is>
          <t>MLB</t>
        </is>
      </c>
      <c r="L49" t="inlineStr">
        <is>
          <t>prop</t>
        </is>
      </c>
      <c r="M49" t="inlineStr">
        <is>
          <t>Vladimir Guerrero Jr. to hit a HR</t>
        </is>
      </c>
      <c r="N49" t="n">
        <v>1</v>
      </c>
      <c r="O49" t="inlineStr">
        <is>
          <t>+470</t>
        </is>
      </c>
      <c r="P49" s="4" t="n">
        <v>5.7</v>
      </c>
      <c r="Q49" s="5" t="inlineStr"/>
      <c r="R49" t="inlineStr"/>
      <c r="S49" s="5" t="inlineStr"/>
      <c r="T49" t="inlineStr">
        <is>
          <t>not shown</t>
        </is>
      </c>
      <c r="U49" t="inlineStr">
        <is>
          <t>L</t>
        </is>
      </c>
      <c r="V49" s="5">
        <f>IF(NOT(ISNUMBER(Q49)),"",IF(U49="W",IF(ISNUMBER(S49),S49-Q49,IF(ISNUMBER(P49),Q49*(P49-1),"")),IF(U49="L",-Q49,IF(U49="Push",0,""))))</f>
        <v/>
      </c>
      <c r="W49">
        <f>IF(NOT(ISNUMBER(R49)),"",IF(U49="W",IF(ISNUMBER(P49),R49*(P49-1),""),IF(U49="L",-R49,IF(U49="Push",0,""))))</f>
        <v/>
      </c>
      <c r="X49" t="inlineStr">
        <is>
          <t>graded from final</t>
        </is>
      </c>
      <c r="Y49" t="inlineStr">
        <is>
          <t>N</t>
        </is>
      </c>
      <c r="Z49" t="inlineStr">
        <is>
          <t>https://x.com/BookitWithTrent/status/2088394406810230793</t>
        </is>
      </c>
      <c r="AA49" t="inlineStr">
        <is>
          <t>"i'm nuking" (stake not shown); Final: Vlad Jr no HR</t>
        </is>
      </c>
      <c r="AB49" t="inlineStr">
        <is>
          <t>Single</t>
        </is>
      </c>
      <c r="AC49" s="5">
        <f>IF(ISNUMBER(V49),Q49,"")</f>
        <v/>
      </c>
      <c r="AD49">
        <f>IF(ISNUMBER(W49),R49,"")</f>
        <v/>
      </c>
    </row>
    <row r="50">
      <c r="A50" t="inlineStr">
        <is>
          <t>S-415231</t>
        </is>
      </c>
      <c r="B50" t="inlineStr">
        <is>
          <t>Steve</t>
        </is>
      </c>
      <c r="C50" s="2" t="n">
        <v>46249.47252314815</v>
      </c>
      <c r="D50">
        <f>IF(C50="","",TEXT(C50,"dddd"))</f>
        <v/>
      </c>
      <c r="E50" s="3" t="n">
        <v>46249</v>
      </c>
      <c r="F50">
        <f>IF(E50="","",TEXT(E50,"dddd"))</f>
        <v/>
      </c>
      <c r="G50" t="inlineStr">
        <is>
          <t>not matched</t>
        </is>
      </c>
      <c r="H50" t="inlineStr">
        <is>
          <t>Unknown</t>
        </is>
      </c>
      <c r="I50" t="inlineStr">
        <is>
          <t>kickoff not matched</t>
        </is>
      </c>
      <c r="J50" t="inlineStr">
        <is>
          <t>NFL</t>
        </is>
      </c>
      <c r="K50" t="inlineStr">
        <is>
          <t>NFL Preseason</t>
        </is>
      </c>
      <c r="L50" t="inlineStr">
        <is>
          <t>spread</t>
        </is>
      </c>
      <c r="M50" t="inlineStr">
        <is>
          <t>New York Giants +1.5 vs Minnesota Vikings</t>
        </is>
      </c>
      <c r="N50" t="n">
        <v>1</v>
      </c>
      <c r="O50" t="inlineStr">
        <is>
          <t>-108</t>
        </is>
      </c>
      <c r="P50" s="4" t="n">
        <v>1.9259</v>
      </c>
      <c r="Q50" s="5" t="n">
        <v>24633.23</v>
      </c>
      <c r="R50" t="inlineStr"/>
      <c r="S50" s="5" t="n">
        <v>47542.13</v>
      </c>
      <c r="T50" t="inlineStr">
        <is>
          <t>Gamdom</t>
        </is>
      </c>
      <c r="U50" t="inlineStr">
        <is>
          <t>L</t>
        </is>
      </c>
      <c r="V50" s="5">
        <f>IF(NOT(ISNUMBER(Q50)),"",IF(U50="W",IF(ISNUMBER(S50),S50-Q50,IF(ISNUMBER(P50),Q50*(P50-1),"")),IF(U50="L",-Q50,IF(U50="Push",0,""))))</f>
        <v/>
      </c>
      <c r="W50">
        <f>IF(NOT(ISNUMBER(R50)),"",IF(U50="W",IF(ISNUMBER(P50),R50*(P50-1),""),IF(U50="L",-R50,IF(U50="Push",0,""))))</f>
        <v/>
      </c>
      <c r="X50" t="inlineStr">
        <is>
          <t>posted</t>
        </is>
      </c>
      <c r="Y50" t="inlineStr">
        <is>
          <t>Y - tags Gamdom</t>
        </is>
      </c>
      <c r="Z50" t="inlineStr">
        <is>
          <t>https://x.com/stevewilldoit/status/2088662105335415231</t>
        </is>
      </c>
      <c r="AA50" t="inlineStr">
        <is>
          <t>Steve says he bet "20k for fun" and posted by mistake; later refunded followers' Giants bets; payout figure is total return; Game date assumed = post date (CT)</t>
        </is>
      </c>
      <c r="AB50" t="inlineStr">
        <is>
          <t>Single</t>
        </is>
      </c>
      <c r="AC50" s="5">
        <f>IF(ISNUMBER(V50),Q50,"")</f>
        <v/>
      </c>
      <c r="AD50">
        <f>IF(ISNUMBER(W50),R50,"")</f>
        <v/>
      </c>
    </row>
    <row r="51">
      <c r="A51" t="inlineStr">
        <is>
          <t>S-415231b</t>
        </is>
      </c>
      <c r="B51" t="inlineStr">
        <is>
          <t>Steve</t>
        </is>
      </c>
      <c r="C51" s="2" t="n">
        <v>46249.47252314815</v>
      </c>
      <c r="D51">
        <f>IF(C51="","",TEXT(C51,"dddd"))</f>
        <v/>
      </c>
      <c r="E51" s="3" t="n">
        <v>46249</v>
      </c>
      <c r="F51">
        <f>IF(E51="","",TEXT(E51,"dddd"))</f>
        <v/>
      </c>
      <c r="G51" t="inlineStr">
        <is>
          <t>7:10 PM</t>
        </is>
      </c>
      <c r="H51" t="inlineStr">
        <is>
          <t>N</t>
        </is>
      </c>
      <c r="I51" t="inlineStr"/>
      <c r="J51" t="inlineStr">
        <is>
          <t>MLB</t>
        </is>
      </c>
      <c r="K51" t="inlineStr">
        <is>
          <t>MLB</t>
        </is>
      </c>
      <c r="L51" t="inlineStr">
        <is>
          <t>ML</t>
        </is>
      </c>
      <c r="M51" t="inlineStr">
        <is>
          <t>Cleveland Guardians F5 ML vs San Diego Padres</t>
        </is>
      </c>
      <c r="N51" t="n">
        <v>1</v>
      </c>
      <c r="O51" t="inlineStr">
        <is>
          <t>-143</t>
        </is>
      </c>
      <c r="P51" s="4" t="n">
        <v>1.6993</v>
      </c>
      <c r="Q51" s="5" t="n">
        <v>60000</v>
      </c>
      <c r="R51" t="inlineStr"/>
      <c r="S51" s="5" t="n">
        <v>102000</v>
      </c>
      <c r="T51" t="inlineStr">
        <is>
          <t>Gamdom</t>
        </is>
      </c>
      <c r="U51" t="inlineStr">
        <is>
          <t>W</t>
        </is>
      </c>
      <c r="V51" s="5">
        <f>IF(NOT(ISNUMBER(Q51)),"",IF(U51="W",IF(ISNUMBER(S51),S51-Q51,IF(ISNUMBER(P51),Q51*(P51-1),"")),IF(U51="L",-Q51,IF(U51="Push",0,""))))</f>
        <v/>
      </c>
      <c r="W51">
        <f>IF(NOT(ISNUMBER(R51)),"",IF(U51="W",IF(ISNUMBER(P51),R51*(P51-1),""),IF(U51="L",-R51,IF(U51="Push",0,""))))</f>
        <v/>
      </c>
      <c r="X51" t="inlineStr">
        <is>
          <t>posted</t>
        </is>
      </c>
      <c r="Y51" t="inlineStr">
        <is>
          <t>Y - tags Gamdom</t>
        </is>
      </c>
      <c r="Z51" t="inlineStr">
        <is>
          <t>https://x.com/stevewilldoit/status/2088662105335415231</t>
        </is>
      </c>
      <c r="AA51" t="inlineStr">
        <is>
          <t>"AI guy" pick; "top 2 picks hit... went 2-0"; payout is total return</t>
        </is>
      </c>
      <c r="AB51" t="inlineStr">
        <is>
          <t>Single</t>
        </is>
      </c>
      <c r="AC51" s="5">
        <f>IF(ISNUMBER(V51),Q51,"")</f>
        <v/>
      </c>
      <c r="AD51">
        <f>IF(ISNUMBER(W51),R51,"")</f>
        <v/>
      </c>
    </row>
    <row r="52">
      <c r="A52" t="inlineStr">
        <is>
          <t>S-415231c</t>
        </is>
      </c>
      <c r="B52" t="inlineStr">
        <is>
          <t>Steve</t>
        </is>
      </c>
      <c r="C52" s="2" t="n">
        <v>46249.47252314815</v>
      </c>
      <c r="D52">
        <f>IF(C52="","",TEXT(C52,"dddd"))</f>
        <v/>
      </c>
      <c r="E52" s="3" t="n">
        <v>46249</v>
      </c>
      <c r="F52">
        <f>IF(E52="","",TEXT(E52,"dddd"))</f>
        <v/>
      </c>
      <c r="G52" t="inlineStr">
        <is>
          <t>6:10 PM</t>
        </is>
      </c>
      <c r="H52" t="inlineStr">
        <is>
          <t>N</t>
        </is>
      </c>
      <c r="I52" t="inlineStr"/>
      <c r="J52" t="inlineStr">
        <is>
          <t>MLB</t>
        </is>
      </c>
      <c r="K52" t="inlineStr">
        <is>
          <t>MLB</t>
        </is>
      </c>
      <c r="L52" t="inlineStr">
        <is>
          <t>total</t>
        </is>
      </c>
      <c r="M52" t="inlineStr">
        <is>
          <t>Rays vs Orioles F5 Under 4.5</t>
        </is>
      </c>
      <c r="N52" t="n">
        <v>1</v>
      </c>
      <c r="O52" t="inlineStr">
        <is>
          <t>-164</t>
        </is>
      </c>
      <c r="P52" s="4" t="n">
        <v>1.6098</v>
      </c>
      <c r="Q52" s="5" t="n">
        <v>70000</v>
      </c>
      <c r="R52" t="inlineStr"/>
      <c r="S52" s="5" t="n">
        <v>112700</v>
      </c>
      <c r="T52" t="inlineStr">
        <is>
          <t>Gamdom</t>
        </is>
      </c>
      <c r="U52" t="inlineStr">
        <is>
          <t>W</t>
        </is>
      </c>
      <c r="V52" s="5">
        <f>IF(NOT(ISNUMBER(Q52)),"",IF(U52="W",IF(ISNUMBER(S52),S52-Q52,IF(ISNUMBER(P52),Q52*(P52-1),"")),IF(U52="L",-Q52,IF(U52="Push",0,""))))</f>
        <v/>
      </c>
      <c r="W52">
        <f>IF(NOT(ISNUMBER(R52)),"",IF(U52="W",IF(ISNUMBER(P52),R52*(P52-1),""),IF(U52="L",-R52,IF(U52="Push",0,""))))</f>
        <v/>
      </c>
      <c r="X52" t="inlineStr">
        <is>
          <t>posted</t>
        </is>
      </c>
      <c r="Y52" t="inlineStr">
        <is>
          <t>Y - tags Gamdom</t>
        </is>
      </c>
      <c r="Z52" t="inlineStr">
        <is>
          <t>https://x.com/stevewilldoit/status/2088662105335415231</t>
        </is>
      </c>
      <c r="AA52" t="inlineStr">
        <is>
          <t>"AI guy" pick; "went 2-0"; payout is total return</t>
        </is>
      </c>
      <c r="AB52" t="inlineStr">
        <is>
          <t>Single</t>
        </is>
      </c>
      <c r="AC52" s="5">
        <f>IF(ISNUMBER(V52),Q52,"")</f>
        <v/>
      </c>
      <c r="AD52">
        <f>IF(ISNUMBER(W52),R52,"")</f>
        <v/>
      </c>
    </row>
    <row r="53">
      <c r="A53" t="inlineStr">
        <is>
          <t>T-556839</t>
        </is>
      </c>
      <c r="B53" t="inlineStr">
        <is>
          <t>Trent</t>
        </is>
      </c>
      <c r="C53" s="2" t="n">
        <v>46249.49024305555</v>
      </c>
      <c r="D53">
        <f>IF(C53="","",TEXT(C53,"dddd"))</f>
        <v/>
      </c>
      <c r="E53" s="3" t="n">
        <v>46249</v>
      </c>
      <c r="F53">
        <f>IF(E53="","",TEXT(E53,"dddd"))</f>
        <v/>
      </c>
      <c r="G53" t="inlineStr">
        <is>
          <t>not matched</t>
        </is>
      </c>
      <c r="H53" t="inlineStr">
        <is>
          <t>N</t>
        </is>
      </c>
      <c r="I53" t="inlineStr"/>
      <c r="J53" t="inlineStr">
        <is>
          <t>Other</t>
        </is>
      </c>
      <c r="K53" t="inlineStr">
        <is>
          <t>PLL Lacrosse</t>
        </is>
      </c>
      <c r="L53" t="inlineStr">
        <is>
          <t>spread</t>
        </is>
      </c>
      <c r="M53" t="inlineStr">
        <is>
          <t>Waterdogs -2.5</t>
        </is>
      </c>
      <c r="N53" t="n">
        <v>1</v>
      </c>
      <c r="O53" t="inlineStr">
        <is>
          <t>not shown</t>
        </is>
      </c>
      <c r="P53" s="4" t="inlineStr"/>
      <c r="Q53" s="5" t="inlineStr"/>
      <c r="R53" t="inlineStr"/>
      <c r="S53" s="5" t="inlineStr"/>
      <c r="T53" t="inlineStr">
        <is>
          <t>not shown</t>
        </is>
      </c>
      <c r="U53" t="inlineStr">
        <is>
          <t>Unknown</t>
        </is>
      </c>
      <c r="V53" s="5">
        <f>IF(NOT(ISNUMBER(Q53)),"",IF(U53="W",IF(ISNUMBER(S53),S53-Q53,IF(ISNUMBER(P53),Q53*(P53-1),"")),IF(U53="L",-Q53,IF(U53="Push",0,""))))</f>
        <v/>
      </c>
      <c r="W53">
        <f>IF(NOT(ISNUMBER(R53)),"",IF(U53="W",IF(ISNUMBER(P53),R53*(P53-1),""),IF(U53="L",-R53,IF(U53="Push",0,""))))</f>
        <v/>
      </c>
      <c r="X53" t="inlineStr">
        <is>
          <t>unverified</t>
        </is>
      </c>
      <c r="Y53" t="inlineStr">
        <is>
          <t>N</t>
        </is>
      </c>
      <c r="Z53" t="inlineStr">
        <is>
          <t>https://x.com/BookitWithTrent/status/2088668527347556839</t>
        </is>
      </c>
      <c r="AA53" t="inlineStr">
        <is>
          <t>"Mortal mega max" fading @krabs_bookit; Game date assumed = post date (CT)</t>
        </is>
      </c>
      <c r="AB53" t="inlineStr">
        <is>
          <t>Single</t>
        </is>
      </c>
      <c r="AC53" s="5">
        <f>IF(ISNUMBER(V53),Q53,"")</f>
        <v/>
      </c>
      <c r="AD53">
        <f>IF(ISNUMBER(W53),R53,"")</f>
        <v/>
      </c>
    </row>
    <row r="54">
      <c r="A54" t="inlineStr">
        <is>
          <t>T-087760</t>
        </is>
      </c>
      <c r="B54" t="inlineStr">
        <is>
          <t>Trent</t>
        </is>
      </c>
      <c r="C54" s="2" t="n">
        <v>46249.73850694444</v>
      </c>
      <c r="D54">
        <f>IF(C54="","",TEXT(C54,"dddd"))</f>
        <v/>
      </c>
      <c r="E54" s="3" t="n">
        <v>46249</v>
      </c>
      <c r="F54">
        <f>IF(E54="","",TEXT(E54,"dddd"))</f>
        <v/>
      </c>
      <c r="G54" t="inlineStr">
        <is>
          <t>7:15 PM</t>
        </is>
      </c>
      <c r="H54" t="inlineStr">
        <is>
          <t>N</t>
        </is>
      </c>
      <c r="I54" t="inlineStr"/>
      <c r="J54" t="inlineStr">
        <is>
          <t>MLB</t>
        </is>
      </c>
      <c r="K54" t="inlineStr">
        <is>
          <t>MLB</t>
        </is>
      </c>
      <c r="L54" t="inlineStr">
        <is>
          <t>ML</t>
        </is>
      </c>
      <c r="M54" t="inlineStr">
        <is>
          <t>Dodgers ML (vs Brewers)</t>
        </is>
      </c>
      <c r="N54" t="n">
        <v>1</v>
      </c>
      <c r="O54" t="inlineStr">
        <is>
          <t>+120</t>
        </is>
      </c>
      <c r="P54" s="4" t="n">
        <v>2.2</v>
      </c>
      <c r="Q54" s="5" t="inlineStr"/>
      <c r="R54" t="n">
        <v>10</v>
      </c>
      <c r="S54" s="5" t="inlineStr"/>
      <c r="T54" t="inlineStr">
        <is>
          <t>not shown</t>
        </is>
      </c>
      <c r="U54" t="inlineStr">
        <is>
          <t>L</t>
        </is>
      </c>
      <c r="V54" s="5">
        <f>IF(NOT(ISNUMBER(Q54)),"",IF(U54="W",IF(ISNUMBER(S54),S54-Q54,IF(ISNUMBER(P54),Q54*(P54-1),"")),IF(U54="L",-Q54,IF(U54="Push",0,""))))</f>
        <v/>
      </c>
      <c r="W54">
        <f>IF(NOT(ISNUMBER(R54)),"",IF(U54="W",IF(ISNUMBER(P54),R54*(P54-1),""),IF(U54="L",-R54,IF(U54="Push",0,""))))</f>
        <v/>
      </c>
      <c r="X54" t="inlineStr">
        <is>
          <t>graded from final</t>
        </is>
      </c>
      <c r="Y54" t="inlineStr">
        <is>
          <t>N</t>
        </is>
      </c>
      <c r="Z54" t="inlineStr">
        <is>
          <t>https://x.com/BookitWithTrent/status/2088758496737087760</t>
        </is>
      </c>
      <c r="AA54" t="inlineStr">
        <is>
          <t>"MLB Mortal Mega" 10U</t>
        </is>
      </c>
      <c r="AB54" t="inlineStr">
        <is>
          <t>Single</t>
        </is>
      </c>
      <c r="AC54" s="5">
        <f>IF(ISNUMBER(V54),Q54,"")</f>
        <v/>
      </c>
      <c r="AD54">
        <f>IF(ISNUMBER(W54),R54,"")</f>
        <v/>
      </c>
    </row>
    <row r="55">
      <c r="A55" t="inlineStr">
        <is>
          <t>T-484115</t>
        </is>
      </c>
      <c r="B55" t="inlineStr">
        <is>
          <t>Trent</t>
        </is>
      </c>
      <c r="C55" s="2" t="n">
        <v>46250.43027777778</v>
      </c>
      <c r="D55">
        <f>IF(C55="","",TEXT(C55,"dddd"))</f>
        <v/>
      </c>
      <c r="E55" s="3" t="n">
        <v>46250</v>
      </c>
      <c r="F55">
        <f>IF(E55="","",TEXT(E55,"dddd"))</f>
        <v/>
      </c>
      <c r="G55" t="inlineStr">
        <is>
          <t>not matched</t>
        </is>
      </c>
      <c r="H55" t="inlineStr">
        <is>
          <t>N</t>
        </is>
      </c>
      <c r="I55" t="inlineStr"/>
      <c r="J55" t="inlineStr">
        <is>
          <t>MLB</t>
        </is>
      </c>
      <c r="K55" t="inlineStr">
        <is>
          <t>MLB</t>
        </is>
      </c>
      <c r="L55" t="inlineStr">
        <is>
          <t>PrizePicks/DFS</t>
        </is>
      </c>
      <c r="M55" t="inlineStr">
        <is>
          <t>Dylan Cease o8.5 K; Sean Burke o5.5 K; Tarik Skubal o7 K; Hunter Brown o5.5 K</t>
        </is>
      </c>
      <c r="N55" t="n">
        <v>4</v>
      </c>
      <c r="O55" t="inlineStr">
        <is>
          <t>not shown</t>
        </is>
      </c>
      <c r="P55" s="4" t="n">
        <v>10</v>
      </c>
      <c r="Q55" s="5" t="n">
        <v>1000</v>
      </c>
      <c r="R55" t="inlineStr"/>
      <c r="S55" s="5" t="n">
        <v>10000</v>
      </c>
      <c r="T55" t="inlineStr">
        <is>
          <t>PrizePicks</t>
        </is>
      </c>
      <c r="U55" t="inlineStr">
        <is>
          <t>L</t>
        </is>
      </c>
      <c r="V55" s="5">
        <f>IF(NOT(ISNUMBER(Q55)),"",IF(U55="W",IF(ISNUMBER(S55),S55-Q55,IF(ISNUMBER(P55),Q55*(P55-1),"")),IF(U55="L",-Q55,IF(U55="Push",0,""))))</f>
        <v/>
      </c>
      <c r="W55">
        <f>IF(NOT(ISNUMBER(R55)),"",IF(U55="W",IF(ISNUMBER(P55),R55*(P55-1),""),IF(U55="L",-R55,IF(U55="Push",0,""))))</f>
        <v/>
      </c>
      <c r="X55" t="inlineStr">
        <is>
          <t>posted</t>
        </is>
      </c>
      <c r="Y55" t="inlineStr">
        <is>
          <t>N</t>
        </is>
      </c>
      <c r="Z55" t="inlineStr">
        <is>
          <t>https://x.com/BookitWithTrent/status/2089009183928484115</t>
        </is>
      </c>
      <c r="AA55" t="inlineStr">
        <is>
          <t>"Sunday K lay"; Burke had 0 K per later post; Game date assumed = post date (CT); Decimal odds derived from payout/stake</t>
        </is>
      </c>
      <c r="AB55" t="inlineStr">
        <is>
          <t>Parlay/multi-leg</t>
        </is>
      </c>
      <c r="AC55" s="5">
        <f>IF(ISNUMBER(V55),Q55,"")</f>
        <v/>
      </c>
      <c r="AD55">
        <f>IF(ISNUMBER(W55),R55,"")</f>
        <v/>
      </c>
    </row>
    <row r="56">
      <c r="A56" t="inlineStr">
        <is>
          <t>T-603249</t>
        </is>
      </c>
      <c r="B56" t="inlineStr">
        <is>
          <t>Trent</t>
        </is>
      </c>
      <c r="C56" s="2" t="n">
        <v>46250.66892361111</v>
      </c>
      <c r="D56">
        <f>IF(C56="","",TEXT(C56,"dddd"))</f>
        <v/>
      </c>
      <c r="E56" s="3" t="n">
        <v>46250</v>
      </c>
      <c r="F56">
        <f>IF(E56="","",TEXT(E56,"dddd"))</f>
        <v/>
      </c>
      <c r="G56" t="inlineStr">
        <is>
          <t>7:20 PM</t>
        </is>
      </c>
      <c r="H56" t="inlineStr">
        <is>
          <t>N</t>
        </is>
      </c>
      <c r="I56" t="inlineStr"/>
      <c r="J56" t="inlineStr">
        <is>
          <t>MLB</t>
        </is>
      </c>
      <c r="K56" t="inlineStr">
        <is>
          <t>MLB</t>
        </is>
      </c>
      <c r="L56" t="inlineStr">
        <is>
          <t>ML</t>
        </is>
      </c>
      <c r="M56" t="inlineStr">
        <is>
          <t>Astros ML (vs Mariners)</t>
        </is>
      </c>
      <c r="N56" t="n">
        <v>1</v>
      </c>
      <c r="O56" t="inlineStr">
        <is>
          <t>-120</t>
        </is>
      </c>
      <c r="P56" s="4" t="n">
        <v>1.8333</v>
      </c>
      <c r="Q56" s="5" t="inlineStr"/>
      <c r="R56" t="n">
        <v>20</v>
      </c>
      <c r="S56" s="5" t="inlineStr"/>
      <c r="T56" t="inlineStr">
        <is>
          <t>not shown</t>
        </is>
      </c>
      <c r="U56" t="inlineStr">
        <is>
          <t>L</t>
        </is>
      </c>
      <c r="V56" s="5">
        <f>IF(NOT(ISNUMBER(Q56)),"",IF(U56="W",IF(ISNUMBER(S56),S56-Q56,IF(ISNUMBER(P56),Q56*(P56-1),"")),IF(U56="L",-Q56,IF(U56="Push",0,""))))</f>
        <v/>
      </c>
      <c r="W56">
        <f>IF(NOT(ISNUMBER(R56)),"",IF(U56="W",IF(ISNUMBER(P56),R56*(P56-1),""),IF(U56="L",-R56,IF(U56="Push",0,""))))</f>
        <v/>
      </c>
      <c r="X56" t="inlineStr">
        <is>
          <t>graded from final</t>
        </is>
      </c>
      <c r="Y56" t="inlineStr">
        <is>
          <t>N</t>
        </is>
      </c>
      <c r="Z56" t="inlineStr">
        <is>
          <t>https://x.com/BookitWithTrent/status/2089095668891603249</t>
        </is>
      </c>
      <c r="AA56" t="inlineStr">
        <is>
          <t>"Sunday Night Mortal Mega" 20U MAX; later posts ("first inning Mariners nuke", "in urine") imply loss but not explicit</t>
        </is>
      </c>
      <c r="AB56" t="inlineStr">
        <is>
          <t>Single</t>
        </is>
      </c>
      <c r="AC56" s="5">
        <f>IF(ISNUMBER(V56),Q56,"")</f>
        <v/>
      </c>
      <c r="AD56">
        <f>IF(ISNUMBER(W56),R56,"")</f>
        <v/>
      </c>
    </row>
    <row r="57">
      <c r="A57" t="inlineStr">
        <is>
          <t>T-151255</t>
        </is>
      </c>
      <c r="B57" t="inlineStr">
        <is>
          <t>Trent</t>
        </is>
      </c>
      <c r="C57" s="2" t="n">
        <v>46251.54292824074</v>
      </c>
      <c r="D57">
        <f>IF(C57="","",TEXT(C57,"dddd"))</f>
        <v/>
      </c>
      <c r="E57" s="3" t="n">
        <v>46251</v>
      </c>
      <c r="F57">
        <f>IF(E57="","",TEXT(E57,"dddd"))</f>
        <v/>
      </c>
      <c r="G57" t="inlineStr">
        <is>
          <t>8:40 PM</t>
        </is>
      </c>
      <c r="H57" t="inlineStr">
        <is>
          <t>N</t>
        </is>
      </c>
      <c r="I57" t="inlineStr"/>
      <c r="J57" t="inlineStr">
        <is>
          <t>MLB</t>
        </is>
      </c>
      <c r="K57" t="inlineStr">
        <is>
          <t>MLB</t>
        </is>
      </c>
      <c r="L57" t="inlineStr">
        <is>
          <t>parlay</t>
        </is>
      </c>
      <c r="M57" t="inlineStr">
        <is>
          <t>Rays ML; Phillies ML; Braves ML; Royals ML; Dodgers ML</t>
        </is>
      </c>
      <c r="N57" t="n">
        <v>5</v>
      </c>
      <c r="O57" t="inlineStr">
        <is>
          <t>+800</t>
        </is>
      </c>
      <c r="P57" s="4" t="n">
        <v>9</v>
      </c>
      <c r="Q57" s="5" t="n">
        <v>1000</v>
      </c>
      <c r="R57" t="inlineStr"/>
      <c r="S57" s="5" t="n">
        <v>9000</v>
      </c>
      <c r="T57" t="inlineStr">
        <is>
          <t>Pikkit</t>
        </is>
      </c>
      <c r="U57" t="inlineStr">
        <is>
          <t>L</t>
        </is>
      </c>
      <c r="V57" s="5">
        <f>IF(NOT(ISNUMBER(Q57)),"",IF(U57="W",IF(ISNUMBER(S57),S57-Q57,IF(ISNUMBER(P57),Q57*(P57-1),"")),IF(U57="L",-Q57,IF(U57="Push",0,""))))</f>
        <v/>
      </c>
      <c r="W57">
        <f>IF(NOT(ISNUMBER(R57)),"",IF(U57="W",IF(ISNUMBER(P57),R57*(P57-1),""),IF(U57="L",-R57,IF(U57="Push",0,""))))</f>
        <v/>
      </c>
      <c r="X57" t="inlineStr">
        <is>
          <t>posted</t>
        </is>
      </c>
      <c r="Y57" t="inlineStr">
        <is>
          <t>N</t>
        </is>
      </c>
      <c r="Z57" t="inlineStr">
        <is>
          <t>https://x.com/BookitWithTrent/status/2089412398109151255</t>
        </is>
      </c>
      <c r="AA57" t="inlineStr">
        <is>
          <t>"Monday Fugazi 5"; next day "Lost by 1 leg last night"; slip shows +800 but payout $9,000</t>
        </is>
      </c>
      <c r="AB57" t="inlineStr">
        <is>
          <t>Parlay/multi-leg</t>
        </is>
      </c>
      <c r="AC57" s="5">
        <f>IF(ISNUMBER(V57),Q57,"")</f>
        <v/>
      </c>
      <c r="AD57">
        <f>IF(ISNUMBER(W57),R57,"")</f>
        <v/>
      </c>
    </row>
    <row r="58">
      <c r="A58" t="inlineStr">
        <is>
          <t>T-869741</t>
        </is>
      </c>
      <c r="B58" t="inlineStr">
        <is>
          <t>Trent</t>
        </is>
      </c>
      <c r="C58" s="2" t="n">
        <v>46251.60855324074</v>
      </c>
      <c r="D58">
        <f>IF(C58="","",TEXT(C58,"dddd"))</f>
        <v/>
      </c>
      <c r="E58" s="3" t="n">
        <v>46251</v>
      </c>
      <c r="F58">
        <f>IF(E58="","",TEXT(E58,"dddd"))</f>
        <v/>
      </c>
      <c r="G58" t="inlineStr">
        <is>
          <t>not matched</t>
        </is>
      </c>
      <c r="H58" t="inlineStr">
        <is>
          <t>N</t>
        </is>
      </c>
      <c r="I58" t="inlineStr"/>
      <c r="J58" t="inlineStr">
        <is>
          <t>MLB</t>
        </is>
      </c>
      <c r="K58" t="inlineStr">
        <is>
          <t>MLB</t>
        </is>
      </c>
      <c r="L58" t="inlineStr">
        <is>
          <t>PrizePicks/DFS</t>
        </is>
      </c>
      <c r="M58" t="inlineStr">
        <is>
          <t>Junior Caminero o6.5 HFS; Jac Caglianone o6 HFS; Ronald Acuna Jr. o6.5 HFS; Shohei Ohtani o11.5 HFS</t>
        </is>
      </c>
      <c r="N58" t="n">
        <v>4</v>
      </c>
      <c r="O58" t="inlineStr">
        <is>
          <t>not shown</t>
        </is>
      </c>
      <c r="P58" s="4" t="n">
        <v>10</v>
      </c>
      <c r="Q58" s="5" t="n">
        <v>1000</v>
      </c>
      <c r="R58" t="inlineStr"/>
      <c r="S58" s="5" t="n">
        <v>10000</v>
      </c>
      <c r="T58" t="inlineStr">
        <is>
          <t>PrizePicks</t>
        </is>
      </c>
      <c r="U58" t="inlineStr">
        <is>
          <t>L</t>
        </is>
      </c>
      <c r="V58" s="5">
        <f>IF(NOT(ISNUMBER(Q58)),"",IF(U58="W",IF(ISNUMBER(S58),S58-Q58,IF(ISNUMBER(P58),Q58*(P58-1),"")),IF(U58="L",-Q58,IF(U58="Push",0,""))))</f>
        <v/>
      </c>
      <c r="W58">
        <f>IF(NOT(ISNUMBER(R58)),"",IF(U58="W",IF(ISNUMBER(P58),R58*(P58-1),""),IF(U58="L",-R58,IF(U58="Push",0,""))))</f>
        <v/>
      </c>
      <c r="X58" t="inlineStr">
        <is>
          <t>posted</t>
        </is>
      </c>
      <c r="Y58" t="inlineStr">
        <is>
          <t>N</t>
        </is>
      </c>
      <c r="Z58" t="inlineStr">
        <is>
          <t>https://x.com/BookitWithTrent/status/2089436176901869741</t>
        </is>
      </c>
      <c r="AA58" t="inlineStr">
        <is>
          <t>Caminero finished with 3 ("Literally fuck Junior"); Game date assumed = post date (CT); Decimal odds derived from payout/stake</t>
        </is>
      </c>
      <c r="AB58" t="inlineStr">
        <is>
          <t>Parlay/multi-leg</t>
        </is>
      </c>
      <c r="AC58" s="5">
        <f>IF(ISNUMBER(V58),Q58,"")</f>
        <v/>
      </c>
      <c r="AD58">
        <f>IF(ISNUMBER(W58),R58,"")</f>
        <v/>
      </c>
    </row>
    <row r="59">
      <c r="A59" t="inlineStr">
        <is>
          <t>T-411548</t>
        </is>
      </c>
      <c r="B59" t="inlineStr">
        <is>
          <t>Trent</t>
        </is>
      </c>
      <c r="C59" s="2" t="n">
        <v>46251.61685185185</v>
      </c>
      <c r="D59">
        <f>IF(C59="","",TEXT(C59,"dddd"))</f>
        <v/>
      </c>
      <c r="E59" s="3" t="n">
        <v>46251</v>
      </c>
      <c r="F59">
        <f>IF(E59="","",TEXT(E59,"dddd"))</f>
        <v/>
      </c>
      <c r="G59" t="inlineStr">
        <is>
          <t>not matched</t>
        </is>
      </c>
      <c r="H59" t="inlineStr">
        <is>
          <t>N</t>
        </is>
      </c>
      <c r="I59" t="inlineStr"/>
      <c r="J59" t="inlineStr">
        <is>
          <t>MLB</t>
        </is>
      </c>
      <c r="K59" t="inlineStr">
        <is>
          <t>MLB</t>
        </is>
      </c>
      <c r="L59" t="inlineStr">
        <is>
          <t>PrizePicks/DFS</t>
        </is>
      </c>
      <c r="M59" t="inlineStr">
        <is>
          <t>o1.5 H+R+RBI(?) each: Caminero; Harper; Caglianone; Olson; Miguel Vargas; Max Muncy</t>
        </is>
      </c>
      <c r="N59" t="n">
        <v>6</v>
      </c>
      <c r="O59" t="inlineStr">
        <is>
          <t>not shown</t>
        </is>
      </c>
      <c r="P59" s="4" t="n">
        <v>108</v>
      </c>
      <c r="Q59" s="5" t="n">
        <v>500</v>
      </c>
      <c r="R59" t="inlineStr"/>
      <c r="S59" s="5" t="n">
        <v>54000</v>
      </c>
      <c r="T59" t="inlineStr">
        <is>
          <t>PrizePicks</t>
        </is>
      </c>
      <c r="U59" t="inlineStr">
        <is>
          <t>L</t>
        </is>
      </c>
      <c r="V59" s="5">
        <f>IF(NOT(ISNUMBER(Q59)),"",IF(U59="W",IF(ISNUMBER(S59),S59-Q59,IF(ISNUMBER(P59),Q59*(P59-1),"")),IF(U59="L",-Q59,IF(U59="Push",0,""))))</f>
        <v/>
      </c>
      <c r="W59">
        <f>IF(NOT(ISNUMBER(R59)),"",IF(U59="W",IF(ISNUMBER(P59),R59*(P59-1),""),IF(U59="L",-R59,IF(U59="Push",0,""))))</f>
        <v/>
      </c>
      <c r="X59" t="inlineStr">
        <is>
          <t>graded from final</t>
        </is>
      </c>
      <c r="Y59" t="inlineStr">
        <is>
          <t>N</t>
        </is>
      </c>
      <c r="Z59" t="inlineStr">
        <is>
          <t>https://x.com/BookitWithTrent/status/2089439184402411548</t>
        </is>
      </c>
      <c r="AA59" t="inlineStr">
        <is>
          <t>line shown as 2.5? H+R+RBI with demon icons (small image); Final: Caminero 1 H+R+RBI; Decimal odds derived from payout/stake</t>
        </is>
      </c>
      <c r="AB59" t="inlineStr">
        <is>
          <t>Parlay/multi-leg</t>
        </is>
      </c>
      <c r="AC59" s="5">
        <f>IF(ISNUMBER(V59),Q59,"")</f>
        <v/>
      </c>
      <c r="AD59">
        <f>IF(ISNUMBER(W59),R59,"")</f>
        <v/>
      </c>
    </row>
    <row r="60">
      <c r="A60" t="inlineStr">
        <is>
          <t>T-334174</t>
        </is>
      </c>
      <c r="B60" t="inlineStr">
        <is>
          <t>Trent</t>
        </is>
      </c>
      <c r="C60" s="2" t="n">
        <v>46252.57142361111</v>
      </c>
      <c r="D60">
        <f>IF(C60="","",TEXT(C60,"dddd"))</f>
        <v/>
      </c>
      <c r="E60" s="3" t="n">
        <v>46252</v>
      </c>
      <c r="F60">
        <f>IF(E60="","",TEXT(E60,"dddd"))</f>
        <v/>
      </c>
      <c r="G60" t="inlineStr">
        <is>
          <t>8:10 PM</t>
        </is>
      </c>
      <c r="H60" t="inlineStr">
        <is>
          <t>N</t>
        </is>
      </c>
      <c r="I60" t="inlineStr"/>
      <c r="J60" t="inlineStr">
        <is>
          <t>MLB</t>
        </is>
      </c>
      <c r="K60" t="inlineStr">
        <is>
          <t>MLB</t>
        </is>
      </c>
      <c r="L60" t="inlineStr">
        <is>
          <t>parlay</t>
        </is>
      </c>
      <c r="M60" t="inlineStr">
        <is>
          <t>Phillies ML; Guardians ML; Brewers ML; Cubs ML; Astros ML</t>
        </is>
      </c>
      <c r="N60" t="n">
        <v>5</v>
      </c>
      <c r="O60" t="inlineStr">
        <is>
          <t>+850</t>
        </is>
      </c>
      <c r="P60" s="4" t="n">
        <v>9.5</v>
      </c>
      <c r="Q60" s="5" t="n">
        <v>1000</v>
      </c>
      <c r="R60" t="inlineStr"/>
      <c r="S60" s="5" t="n">
        <v>9500</v>
      </c>
      <c r="T60" t="inlineStr">
        <is>
          <t>Pikkit</t>
        </is>
      </c>
      <c r="U60" t="inlineStr">
        <is>
          <t>L</t>
        </is>
      </c>
      <c r="V60" s="5">
        <f>IF(NOT(ISNUMBER(Q60)),"",IF(U60="W",IF(ISNUMBER(S60),S60-Q60,IF(ISNUMBER(P60),Q60*(P60-1),"")),IF(U60="L",-Q60,IF(U60="Push",0,""))))</f>
        <v/>
      </c>
      <c r="W60">
        <f>IF(NOT(ISNUMBER(R60)),"",IF(U60="W",IF(ISNUMBER(P60),R60*(P60-1),""),IF(U60="L",-R60,IF(U60="Push",0,""))))</f>
        <v/>
      </c>
      <c r="X60" t="inlineStr">
        <is>
          <t>posted</t>
        </is>
      </c>
      <c r="Y60" t="inlineStr">
        <is>
          <t>N</t>
        </is>
      </c>
      <c r="Z60" t="inlineStr">
        <is>
          <t>https://x.com/BookitWithTrent/status/2089785110908334174</t>
        </is>
      </c>
      <c r="AA60" t="inlineStr">
        <is>
          <t>"Fugazi Five"; result slip (301365) shows Astros leg lost</t>
        </is>
      </c>
      <c r="AB60" t="inlineStr">
        <is>
          <t>Parlay/multi-leg</t>
        </is>
      </c>
      <c r="AC60" s="5">
        <f>IF(ISNUMBER(V60),Q60,"")</f>
        <v/>
      </c>
      <c r="AD60">
        <f>IF(ISNUMBER(W60),R60,"")</f>
        <v/>
      </c>
    </row>
    <row r="61">
      <c r="A61" t="inlineStr">
        <is>
          <t>T-976207</t>
        </is>
      </c>
      <c r="B61" t="inlineStr">
        <is>
          <t>Trent</t>
        </is>
      </c>
      <c r="C61" s="2" t="n">
        <v>46252.61760416667</v>
      </c>
      <c r="D61">
        <f>IF(C61="","",TEXT(C61,"dddd"))</f>
        <v/>
      </c>
      <c r="E61" s="3" t="n">
        <v>46252</v>
      </c>
      <c r="F61">
        <f>IF(E61="","",TEXT(E61,"dddd"))</f>
        <v/>
      </c>
      <c r="G61" t="inlineStr">
        <is>
          <t>not matched</t>
        </is>
      </c>
      <c r="H61" t="inlineStr">
        <is>
          <t>N</t>
        </is>
      </c>
      <c r="I61" t="inlineStr"/>
      <c r="J61" t="inlineStr">
        <is>
          <t>MLB</t>
        </is>
      </c>
      <c r="K61" t="inlineStr">
        <is>
          <t>MLB</t>
        </is>
      </c>
      <c r="L61" t="inlineStr">
        <is>
          <t>PrizePicks/DFS</t>
        </is>
      </c>
      <c r="M61" t="inlineStr">
        <is>
          <t>Foster Griffin o34.5 PFS; Robbie Ray o4.5 K; Ozzie Albies o1.5 H+R+RBI; Yordan Alvarez o7.5 HFS</t>
        </is>
      </c>
      <c r="N61" t="n">
        <v>4</v>
      </c>
      <c r="O61" t="inlineStr">
        <is>
          <t>not shown</t>
        </is>
      </c>
      <c r="P61" s="4" t="n">
        <v>10</v>
      </c>
      <c r="Q61" s="5" t="n">
        <v>1000</v>
      </c>
      <c r="R61" t="inlineStr"/>
      <c r="S61" s="5" t="n">
        <v>10000</v>
      </c>
      <c r="T61" t="inlineStr">
        <is>
          <t>PrizePicks</t>
        </is>
      </c>
      <c r="U61" t="inlineStr">
        <is>
          <t>L</t>
        </is>
      </c>
      <c r="V61" s="5">
        <f>IF(NOT(ISNUMBER(Q61)),"",IF(U61="W",IF(ISNUMBER(S61),S61-Q61,IF(ISNUMBER(P61),Q61*(P61-1),"")),IF(U61="L",-Q61,IF(U61="Push",0,""))))</f>
        <v/>
      </c>
      <c r="W61">
        <f>IF(NOT(ISNUMBER(R61)),"",IF(U61="W",IF(ISNUMBER(P61),R61*(P61-1),""),IF(U61="L",-R61,IF(U61="Push",0,""))))</f>
        <v/>
      </c>
      <c r="X61" t="inlineStr">
        <is>
          <t>graded from final</t>
        </is>
      </c>
      <c r="Y61" t="inlineStr">
        <is>
          <t>N</t>
        </is>
      </c>
      <c r="Z61" t="inlineStr">
        <is>
          <t>https://x.com/BookitWithTrent/status/2089801846348976207</t>
        </is>
      </c>
      <c r="AA61" t="inlineStr">
        <is>
          <t>"4 man nuke of the night"; Final: Robbie Ray 4 K; Decimal odds derived from payout/stake</t>
        </is>
      </c>
      <c r="AB61" t="inlineStr">
        <is>
          <t>Parlay/multi-leg</t>
        </is>
      </c>
      <c r="AC61" s="5">
        <f>IF(ISNUMBER(V61),Q61,"")</f>
        <v/>
      </c>
      <c r="AD61">
        <f>IF(ISNUMBER(W61),R61,"")</f>
        <v/>
      </c>
    </row>
    <row r="62">
      <c r="A62" t="inlineStr">
        <is>
          <t>S-924096</t>
        </is>
      </c>
      <c r="B62" t="inlineStr">
        <is>
          <t>Steve</t>
        </is>
      </c>
      <c r="C62" s="2" t="n">
        <v>46252.66119212963</v>
      </c>
      <c r="D62">
        <f>IF(C62="","",TEXT(C62,"dddd"))</f>
        <v/>
      </c>
      <c r="E62" s="3" t="n">
        <v>46252</v>
      </c>
      <c r="F62">
        <f>IF(E62="","",TEXT(E62,"dddd"))</f>
        <v/>
      </c>
      <c r="G62" t="inlineStr">
        <is>
          <t>7:10 PM</t>
        </is>
      </c>
      <c r="H62" t="inlineStr">
        <is>
          <t>N</t>
        </is>
      </c>
      <c r="I62" t="inlineStr"/>
      <c r="J62" t="inlineStr">
        <is>
          <t>MLB</t>
        </is>
      </c>
      <c r="K62" t="inlineStr">
        <is>
          <t>MLB</t>
        </is>
      </c>
      <c r="L62" t="inlineStr">
        <is>
          <t>ML</t>
        </is>
      </c>
      <c r="M62" t="inlineStr">
        <is>
          <t>San Diego Padres ML vs New York Mets</t>
        </is>
      </c>
      <c r="N62" t="n">
        <v>1</v>
      </c>
      <c r="O62" t="inlineStr">
        <is>
          <t>-114</t>
        </is>
      </c>
      <c r="P62" s="4" t="n">
        <v>1.8772</v>
      </c>
      <c r="Q62" s="5" t="n">
        <v>40000</v>
      </c>
      <c r="R62" t="inlineStr"/>
      <c r="S62" s="5" t="n">
        <v>75200</v>
      </c>
      <c r="T62" t="inlineStr">
        <is>
          <t>Gamdom</t>
        </is>
      </c>
      <c r="U62" t="inlineStr">
        <is>
          <t>W</t>
        </is>
      </c>
      <c r="V62" s="5">
        <f>IF(NOT(ISNUMBER(Q62)),"",IF(U62="W",IF(ISNUMBER(S62),S62-Q62,IF(ISNUMBER(P62),Q62*(P62-1),"")),IF(U62="L",-Q62,IF(U62="Push",0,""))))</f>
        <v/>
      </c>
      <c r="W62">
        <f>IF(NOT(ISNUMBER(R62)),"",IF(U62="W",IF(ISNUMBER(P62),R62*(P62-1),""),IF(U62="L",-R62,IF(U62="Push",0,""))))</f>
        <v/>
      </c>
      <c r="X62" t="inlineStr">
        <is>
          <t>graded from final</t>
        </is>
      </c>
      <c r="Y62" t="inlineStr">
        <is>
          <t>Y - tags Gamdom</t>
        </is>
      </c>
      <c r="Z62" t="inlineStr">
        <is>
          <t>https://x.com/stevewilldoit/status/2089817642919924096</t>
        </is>
      </c>
      <c r="AA62" t="inlineStr">
        <is>
          <t>"AI guy" pick</t>
        </is>
      </c>
      <c r="AB62" t="inlineStr">
        <is>
          <t>Single</t>
        </is>
      </c>
      <c r="AC62" s="5">
        <f>IF(ISNUMBER(V62),Q62,"")</f>
        <v/>
      </c>
      <c r="AD62">
        <f>IF(ISNUMBER(W62),R62,"")</f>
        <v/>
      </c>
    </row>
    <row r="63">
      <c r="A63" t="inlineStr">
        <is>
          <t>S-924096b</t>
        </is>
      </c>
      <c r="B63" t="inlineStr">
        <is>
          <t>Steve</t>
        </is>
      </c>
      <c r="C63" s="2" t="n">
        <v>46252.66119212963</v>
      </c>
      <c r="D63">
        <f>IF(C63="","",TEXT(C63,"dddd"))</f>
        <v/>
      </c>
      <c r="E63" s="3" t="n">
        <v>46252</v>
      </c>
      <c r="F63">
        <f>IF(E63="","",TEXT(E63,"dddd"))</f>
        <v/>
      </c>
      <c r="G63" t="inlineStr">
        <is>
          <t>7:40 PM</t>
        </is>
      </c>
      <c r="H63" t="inlineStr">
        <is>
          <t>N</t>
        </is>
      </c>
      <c r="I63" t="inlineStr"/>
      <c r="J63" t="inlineStr">
        <is>
          <t>MLB</t>
        </is>
      </c>
      <c r="K63" t="inlineStr">
        <is>
          <t>MLB</t>
        </is>
      </c>
      <c r="L63" t="inlineStr">
        <is>
          <t>ML</t>
        </is>
      </c>
      <c r="M63" t="inlineStr">
        <is>
          <t>Atlanta Braves ML vs Minnesota Twins</t>
        </is>
      </c>
      <c r="N63" t="n">
        <v>1</v>
      </c>
      <c r="O63" t="inlineStr">
        <is>
          <t>-139</t>
        </is>
      </c>
      <c r="P63" s="4" t="n">
        <v>1.7194</v>
      </c>
      <c r="Q63" s="5" t="n">
        <v>40000</v>
      </c>
      <c r="R63" t="inlineStr"/>
      <c r="S63" s="5" t="n">
        <v>68800</v>
      </c>
      <c r="T63" t="inlineStr">
        <is>
          <t>Gamdom</t>
        </is>
      </c>
      <c r="U63" t="inlineStr">
        <is>
          <t>L</t>
        </is>
      </c>
      <c r="V63" s="5">
        <f>IF(NOT(ISNUMBER(Q63)),"",IF(U63="W",IF(ISNUMBER(S63),S63-Q63,IF(ISNUMBER(P63),Q63*(P63-1),"")),IF(U63="L",-Q63,IF(U63="Push",0,""))))</f>
        <v/>
      </c>
      <c r="W63">
        <f>IF(NOT(ISNUMBER(R63)),"",IF(U63="W",IF(ISNUMBER(P63),R63*(P63-1),""),IF(U63="L",-R63,IF(U63="Push",0,""))))</f>
        <v/>
      </c>
      <c r="X63" t="inlineStr">
        <is>
          <t>graded from final</t>
        </is>
      </c>
      <c r="Y63" t="inlineStr">
        <is>
          <t>Y - tags Gamdom</t>
        </is>
      </c>
      <c r="Z63" t="inlineStr">
        <is>
          <t>https://x.com/stevewilldoit/status/2089817642919924096</t>
        </is>
      </c>
      <c r="AA63" t="inlineStr">
        <is>
          <t>"AI guy" pick (ATL FG ML -127 per text)</t>
        </is>
      </c>
      <c r="AB63" t="inlineStr">
        <is>
          <t>Single</t>
        </is>
      </c>
      <c r="AC63" s="5">
        <f>IF(ISNUMBER(V63),Q63,"")</f>
        <v/>
      </c>
      <c r="AD63">
        <f>IF(ISNUMBER(W63),R63,"")</f>
        <v/>
      </c>
    </row>
    <row r="64">
      <c r="A64" t="inlineStr">
        <is>
          <t>T-510431</t>
        </is>
      </c>
      <c r="B64" t="inlineStr">
        <is>
          <t>Trent</t>
        </is>
      </c>
      <c r="C64" s="2" t="n">
        <v>46252.70952546296</v>
      </c>
      <c r="D64">
        <f>IF(C64="","",TEXT(C64,"dddd"))</f>
        <v/>
      </c>
      <c r="E64" s="3" t="n">
        <v>46252</v>
      </c>
      <c r="F64">
        <f>IF(E64="","",TEXT(E64,"dddd"))</f>
        <v/>
      </c>
      <c r="G64" t="inlineStr">
        <is>
          <t>7:40 PM</t>
        </is>
      </c>
      <c r="H64" t="inlineStr">
        <is>
          <t>N</t>
        </is>
      </c>
      <c r="I64" t="inlineStr"/>
      <c r="J64" t="inlineStr">
        <is>
          <t>MLB</t>
        </is>
      </c>
      <c r="K64" t="inlineStr">
        <is>
          <t>MLB</t>
        </is>
      </c>
      <c r="L64" t="inlineStr">
        <is>
          <t>ML</t>
        </is>
      </c>
      <c r="M64" t="inlineStr">
        <is>
          <t>Braves ML (vs Twins)</t>
        </is>
      </c>
      <c r="N64" t="n">
        <v>1</v>
      </c>
      <c r="O64" t="inlineStr">
        <is>
          <t>-135</t>
        </is>
      </c>
      <c r="P64" s="4" t="n">
        <v>1.7407</v>
      </c>
      <c r="Q64" s="5" t="inlineStr"/>
      <c r="R64" t="n">
        <v>10</v>
      </c>
      <c r="S64" s="5" t="inlineStr"/>
      <c r="T64" t="inlineStr">
        <is>
          <t>not shown</t>
        </is>
      </c>
      <c r="U64" t="inlineStr">
        <is>
          <t>L</t>
        </is>
      </c>
      <c r="V64" s="5">
        <f>IF(NOT(ISNUMBER(Q64)),"",IF(U64="W",IF(ISNUMBER(S64),S64-Q64,IF(ISNUMBER(P64),Q64*(P64-1),"")),IF(U64="L",-Q64,IF(U64="Push",0,""))))</f>
        <v/>
      </c>
      <c r="W64">
        <f>IF(NOT(ISNUMBER(R64)),"",IF(U64="W",IF(ISNUMBER(P64),R64*(P64-1),""),IF(U64="L",-R64,IF(U64="Push",0,""))))</f>
        <v/>
      </c>
      <c r="X64" t="inlineStr">
        <is>
          <t>graded from final</t>
        </is>
      </c>
      <c r="Y64" t="inlineStr">
        <is>
          <t>N</t>
        </is>
      </c>
      <c r="Z64" t="inlineStr">
        <is>
          <t>https://x.com/BookitWithTrent/status/2089835155850510431</t>
        </is>
      </c>
      <c r="AA64" t="inlineStr">
        <is>
          <t>"MLB Mortal Mega Max" 10u</t>
        </is>
      </c>
      <c r="AB64" t="inlineStr">
        <is>
          <t>Single</t>
        </is>
      </c>
      <c r="AC64" s="5">
        <f>IF(ISNUMBER(V64),Q64,"")</f>
        <v/>
      </c>
      <c r="AD64">
        <f>IF(ISNUMBER(W64),R64,"")</f>
        <v/>
      </c>
    </row>
    <row r="65">
      <c r="A65" t="inlineStr">
        <is>
          <t>S-221262</t>
        </is>
      </c>
      <c r="B65" t="inlineStr">
        <is>
          <t>Steve</t>
        </is>
      </c>
      <c r="C65" s="2" t="n">
        <v>46252.78003472222</v>
      </c>
      <c r="D65">
        <f>IF(C65="","",TEXT(C65,"dddd"))</f>
        <v/>
      </c>
      <c r="E65" s="3" t="n">
        <v>46252</v>
      </c>
      <c r="F65">
        <f>IF(E65="","",TEXT(E65,"dddd"))</f>
        <v/>
      </c>
      <c r="G65" t="inlineStr">
        <is>
          <t>7:10 PM</t>
        </is>
      </c>
      <c r="H65" t="inlineStr">
        <is>
          <t>N</t>
        </is>
      </c>
      <c r="I65" t="inlineStr"/>
      <c r="J65" t="inlineStr">
        <is>
          <t>MLB</t>
        </is>
      </c>
      <c r="K65" t="inlineStr">
        <is>
          <t>MLB</t>
        </is>
      </c>
      <c r="L65" t="inlineStr">
        <is>
          <t>ML</t>
        </is>
      </c>
      <c r="M65" t="inlineStr">
        <is>
          <t>San Diego Padres ML (live) vs NY Mets</t>
        </is>
      </c>
      <c r="N65" t="n">
        <v>1</v>
      </c>
      <c r="O65" t="inlineStr">
        <is>
          <t>-118</t>
        </is>
      </c>
      <c r="P65" s="4" t="n">
        <v>1.8475</v>
      </c>
      <c r="Q65" s="5" t="n">
        <v>50000</v>
      </c>
      <c r="R65" t="inlineStr"/>
      <c r="S65" s="5" t="n">
        <v>92500</v>
      </c>
      <c r="T65" t="inlineStr">
        <is>
          <t>Gamdom</t>
        </is>
      </c>
      <c r="U65" t="inlineStr">
        <is>
          <t>W</t>
        </is>
      </c>
      <c r="V65" s="5">
        <f>IF(NOT(ISNUMBER(Q65)),"",IF(U65="W",IF(ISNUMBER(S65),S65-Q65,IF(ISNUMBER(P65),Q65*(P65-1),"")),IF(U65="L",-Q65,IF(U65="Push",0,""))))</f>
        <v/>
      </c>
      <c r="W65">
        <f>IF(NOT(ISNUMBER(R65)),"",IF(U65="W",IF(ISNUMBER(P65),R65*(P65-1),""),IF(U65="L",-R65,IF(U65="Push",0,""))))</f>
        <v/>
      </c>
      <c r="X65" t="inlineStr">
        <is>
          <t>posted</t>
        </is>
      </c>
      <c r="Y65" t="inlineStr">
        <is>
          <t>Y - tags Gamdom</t>
        </is>
      </c>
      <c r="Z65" t="inlineStr">
        <is>
          <t>https://x.com/stevewilldoit/status/2089860709618221262</t>
        </is>
      </c>
      <c r="AA65" t="inlineStr">
        <is>
          <t>Live bet on marker; "BOOOOOM!!!" reply</t>
        </is>
      </c>
      <c r="AB65" t="inlineStr">
        <is>
          <t>Single</t>
        </is>
      </c>
      <c r="AC65" s="5">
        <f>IF(ISNUMBER(V65),Q65,"")</f>
        <v/>
      </c>
      <c r="AD65">
        <f>IF(ISNUMBER(W65),R65,"")</f>
        <v/>
      </c>
    </row>
    <row r="66">
      <c r="A66" t="inlineStr">
        <is>
          <t>T-588040</t>
        </is>
      </c>
      <c r="B66" t="inlineStr">
        <is>
          <t>Trent</t>
        </is>
      </c>
      <c r="C66" s="2" t="n">
        <v>46253.43884259259</v>
      </c>
      <c r="D66">
        <f>IF(C66="","",TEXT(C66,"dddd"))</f>
        <v/>
      </c>
      <c r="E66" s="3" t="n">
        <v>46253</v>
      </c>
      <c r="F66">
        <f>IF(E66="","",TEXT(E66,"dddd"))</f>
        <v/>
      </c>
      <c r="G66" t="inlineStr">
        <is>
          <t>12:35 PM</t>
        </is>
      </c>
      <c r="H66" t="inlineStr">
        <is>
          <t>N</t>
        </is>
      </c>
      <c r="I66" t="inlineStr"/>
      <c r="J66" t="inlineStr">
        <is>
          <t>MLB</t>
        </is>
      </c>
      <c r="K66" t="inlineStr">
        <is>
          <t>MLB</t>
        </is>
      </c>
      <c r="L66" t="inlineStr">
        <is>
          <t>spread</t>
        </is>
      </c>
      <c r="M66" t="inlineStr">
        <is>
          <t>Pirates F5 -0.5</t>
        </is>
      </c>
      <c r="N66" t="n">
        <v>1</v>
      </c>
      <c r="O66" t="inlineStr">
        <is>
          <t>-115</t>
        </is>
      </c>
      <c r="P66" s="4" t="n">
        <v>1.8696</v>
      </c>
      <c r="Q66" s="5" t="inlineStr"/>
      <c r="R66" t="inlineStr"/>
      <c r="S66" s="5" t="inlineStr"/>
      <c r="T66" t="inlineStr">
        <is>
          <t>not shown</t>
        </is>
      </c>
      <c r="U66" t="inlineStr">
        <is>
          <t>L</t>
        </is>
      </c>
      <c r="V66" s="5">
        <f>IF(NOT(ISNUMBER(Q66)),"",IF(U66="W",IF(ISNUMBER(S66),S66-Q66,IF(ISNUMBER(P66),Q66*(P66-1),"")),IF(U66="L",-Q66,IF(U66="Push",0,""))))</f>
        <v/>
      </c>
      <c r="W66">
        <f>IF(NOT(ISNUMBER(R66)),"",IF(U66="W",IF(ISNUMBER(P66),R66*(P66-1),""),IF(U66="L",-R66,IF(U66="Push",0,""))))</f>
        <v/>
      </c>
      <c r="X66" t="inlineStr">
        <is>
          <t>posted</t>
        </is>
      </c>
      <c r="Y66" t="inlineStr">
        <is>
          <t>N</t>
        </is>
      </c>
      <c r="Z66" t="inlineStr">
        <is>
          <t>https://x.com/BookitWithTrent/status/2090099455072588040</t>
        </is>
      </c>
      <c r="AA66" t="inlineStr">
        <is>
          <t>Daytime card; "lost every bet today"</t>
        </is>
      </c>
      <c r="AB66" t="inlineStr">
        <is>
          <t>Single</t>
        </is>
      </c>
      <c r="AC66" s="5">
        <f>IF(ISNUMBER(V66),Q66,"")</f>
        <v/>
      </c>
      <c r="AD66">
        <f>IF(ISNUMBER(W66),R66,"")</f>
        <v/>
      </c>
    </row>
    <row r="67">
      <c r="A67" t="inlineStr">
        <is>
          <t>T-588040b</t>
        </is>
      </c>
      <c r="B67" t="inlineStr">
        <is>
          <t>Trent</t>
        </is>
      </c>
      <c r="C67" s="2" t="n">
        <v>46253.43884259259</v>
      </c>
      <c r="D67">
        <f>IF(C67="","",TEXT(C67,"dddd"))</f>
        <v/>
      </c>
      <c r="E67" s="3" t="n">
        <v>46253</v>
      </c>
      <c r="F67">
        <f>IF(E67="","",TEXT(E67,"dddd"))</f>
        <v/>
      </c>
      <c r="G67" t="inlineStr">
        <is>
          <t>1:10 PM</t>
        </is>
      </c>
      <c r="H67" t="inlineStr">
        <is>
          <t>N</t>
        </is>
      </c>
      <c r="I67" t="inlineStr"/>
      <c r="J67" t="inlineStr">
        <is>
          <t>MLB</t>
        </is>
      </c>
      <c r="K67" t="inlineStr">
        <is>
          <t>MLB</t>
        </is>
      </c>
      <c r="L67" t="inlineStr">
        <is>
          <t>ML</t>
        </is>
      </c>
      <c r="M67" t="inlineStr">
        <is>
          <t>Padres ML</t>
        </is>
      </c>
      <c r="N67" t="n">
        <v>1</v>
      </c>
      <c r="O67" t="inlineStr">
        <is>
          <t>-130</t>
        </is>
      </c>
      <c r="P67" s="4" t="n">
        <v>1.7692</v>
      </c>
      <c r="Q67" s="5" t="inlineStr"/>
      <c r="R67" t="inlineStr"/>
      <c r="S67" s="5" t="inlineStr"/>
      <c r="T67" t="inlineStr">
        <is>
          <t>not shown</t>
        </is>
      </c>
      <c r="U67" t="inlineStr">
        <is>
          <t>L</t>
        </is>
      </c>
      <c r="V67" s="5">
        <f>IF(NOT(ISNUMBER(Q67)),"",IF(U67="W",IF(ISNUMBER(S67),S67-Q67,IF(ISNUMBER(P67),Q67*(P67-1),"")),IF(U67="L",-Q67,IF(U67="Push",0,""))))</f>
        <v/>
      </c>
      <c r="W67">
        <f>IF(NOT(ISNUMBER(R67)),"",IF(U67="W",IF(ISNUMBER(P67),R67*(P67-1),""),IF(U67="L",-R67,IF(U67="Push",0,""))))</f>
        <v/>
      </c>
      <c r="X67" t="inlineStr">
        <is>
          <t>posted</t>
        </is>
      </c>
      <c r="Y67" t="inlineStr">
        <is>
          <t>N</t>
        </is>
      </c>
      <c r="Z67" t="inlineStr">
        <is>
          <t>https://x.com/BookitWithTrent/status/2090099455072588040</t>
        </is>
      </c>
      <c r="AA67" t="inlineStr">
        <is>
          <t>Daytime card; "lost every bet today"</t>
        </is>
      </c>
      <c r="AB67" t="inlineStr">
        <is>
          <t>Single</t>
        </is>
      </c>
      <c r="AC67" s="5">
        <f>IF(ISNUMBER(V67),Q67,"")</f>
        <v/>
      </c>
      <c r="AD67">
        <f>IF(ISNUMBER(W67),R67,"")</f>
        <v/>
      </c>
    </row>
    <row r="68">
      <c r="A68" t="inlineStr">
        <is>
          <t>T-588040c</t>
        </is>
      </c>
      <c r="B68" t="inlineStr">
        <is>
          <t>Trent</t>
        </is>
      </c>
      <c r="C68" s="2" t="n">
        <v>46253.43884259259</v>
      </c>
      <c r="D68">
        <f>IF(C68="","",TEXT(C68,"dddd"))</f>
        <v/>
      </c>
      <c r="E68" s="3" t="n">
        <v>46253</v>
      </c>
      <c r="F68">
        <f>IF(E68="","",TEXT(E68,"dddd"))</f>
        <v/>
      </c>
      <c r="G68" t="inlineStr">
        <is>
          <t>1:40 PM</t>
        </is>
      </c>
      <c r="H68" t="inlineStr">
        <is>
          <t>N</t>
        </is>
      </c>
      <c r="I68" t="inlineStr"/>
      <c r="J68" t="inlineStr">
        <is>
          <t>MLB</t>
        </is>
      </c>
      <c r="K68" t="inlineStr">
        <is>
          <t>MLB</t>
        </is>
      </c>
      <c r="L68" t="inlineStr">
        <is>
          <t>total</t>
        </is>
      </c>
      <c r="M68" t="inlineStr">
        <is>
          <t>Braves/Twins Under 8.5</t>
        </is>
      </c>
      <c r="N68" t="n">
        <v>1</v>
      </c>
      <c r="O68" t="inlineStr">
        <is>
          <t>-110</t>
        </is>
      </c>
      <c r="P68" s="4" t="n">
        <v>1.9091</v>
      </c>
      <c r="Q68" s="5" t="inlineStr"/>
      <c r="R68" t="inlineStr"/>
      <c r="S68" s="5" t="inlineStr"/>
      <c r="T68" t="inlineStr">
        <is>
          <t>not shown</t>
        </is>
      </c>
      <c r="U68" t="inlineStr">
        <is>
          <t>L</t>
        </is>
      </c>
      <c r="V68" s="5">
        <f>IF(NOT(ISNUMBER(Q68)),"",IF(U68="W",IF(ISNUMBER(S68),S68-Q68,IF(ISNUMBER(P68),Q68*(P68-1),"")),IF(U68="L",-Q68,IF(U68="Push",0,""))))</f>
        <v/>
      </c>
      <c r="W68">
        <f>IF(NOT(ISNUMBER(R68)),"",IF(U68="W",IF(ISNUMBER(P68),R68*(P68-1),""),IF(U68="L",-R68,IF(U68="Push",0,""))))</f>
        <v/>
      </c>
      <c r="X68" t="inlineStr">
        <is>
          <t>posted</t>
        </is>
      </c>
      <c r="Y68" t="inlineStr">
        <is>
          <t>N</t>
        </is>
      </c>
      <c r="Z68" t="inlineStr">
        <is>
          <t>https://x.com/BookitWithTrent/status/2090099455072588040</t>
        </is>
      </c>
      <c r="AA68" t="inlineStr">
        <is>
          <t>Daytime card; "lost every bet today"</t>
        </is>
      </c>
      <c r="AB68" t="inlineStr">
        <is>
          <t>Single</t>
        </is>
      </c>
      <c r="AC68" s="5">
        <f>IF(ISNUMBER(V68),Q68,"")</f>
        <v/>
      </c>
      <c r="AD68">
        <f>IF(ISNUMBER(W68),R68,"")</f>
        <v/>
      </c>
    </row>
    <row r="69">
      <c r="A69" t="inlineStr">
        <is>
          <t>T-588040d</t>
        </is>
      </c>
      <c r="B69" t="inlineStr">
        <is>
          <t>Trent</t>
        </is>
      </c>
      <c r="C69" s="2" t="n">
        <v>46253.43884259259</v>
      </c>
      <c r="D69">
        <f>IF(C69="","",TEXT(C69,"dddd"))</f>
        <v/>
      </c>
      <c r="E69" s="3" t="n">
        <v>46253</v>
      </c>
      <c r="F69">
        <f>IF(E69="","",TEXT(E69,"dddd"))</f>
        <v/>
      </c>
      <c r="G69" t="inlineStr">
        <is>
          <t>2:20 PM</t>
        </is>
      </c>
      <c r="H69" t="inlineStr">
        <is>
          <t>N</t>
        </is>
      </c>
      <c r="I69" t="inlineStr"/>
      <c r="J69" t="inlineStr">
        <is>
          <t>MLB</t>
        </is>
      </c>
      <c r="K69" t="inlineStr">
        <is>
          <t>MLB</t>
        </is>
      </c>
      <c r="L69" t="inlineStr">
        <is>
          <t>total</t>
        </is>
      </c>
      <c r="M69" t="inlineStr">
        <is>
          <t>White Sox/Cubs Over 8</t>
        </is>
      </c>
      <c r="N69" t="n">
        <v>1</v>
      </c>
      <c r="O69" t="inlineStr">
        <is>
          <t>-110</t>
        </is>
      </c>
      <c r="P69" s="4" t="n">
        <v>1.9091</v>
      </c>
      <c r="Q69" s="5" t="inlineStr"/>
      <c r="R69" t="inlineStr"/>
      <c r="S69" s="5" t="inlineStr"/>
      <c r="T69" t="inlineStr">
        <is>
          <t>not shown</t>
        </is>
      </c>
      <c r="U69" t="inlineStr">
        <is>
          <t>L</t>
        </is>
      </c>
      <c r="V69" s="5">
        <f>IF(NOT(ISNUMBER(Q69)),"",IF(U69="W",IF(ISNUMBER(S69),S69-Q69,IF(ISNUMBER(P69),Q69*(P69-1),"")),IF(U69="L",-Q69,IF(U69="Push",0,""))))</f>
        <v/>
      </c>
      <c r="W69">
        <f>IF(NOT(ISNUMBER(R69)),"",IF(U69="W",IF(ISNUMBER(P69),R69*(P69-1),""),IF(U69="L",-R69,IF(U69="Push",0,""))))</f>
        <v/>
      </c>
      <c r="X69" t="inlineStr">
        <is>
          <t>posted</t>
        </is>
      </c>
      <c r="Y69" t="inlineStr">
        <is>
          <t>N</t>
        </is>
      </c>
      <c r="Z69" t="inlineStr">
        <is>
          <t>https://x.com/BookitWithTrent/status/2090099455072588040</t>
        </is>
      </c>
      <c r="AA69" t="inlineStr">
        <is>
          <t>Daytime card; "lost every bet today"</t>
        </is>
      </c>
      <c r="AB69" t="inlineStr">
        <is>
          <t>Single</t>
        </is>
      </c>
      <c r="AC69" s="5">
        <f>IF(ISNUMBER(V69),Q69,"")</f>
        <v/>
      </c>
      <c r="AD69">
        <f>IF(ISNUMBER(W69),R69,"")</f>
        <v/>
      </c>
    </row>
    <row r="70">
      <c r="A70" t="inlineStr">
        <is>
          <t>S-810023</t>
        </is>
      </c>
      <c r="B70" t="inlineStr">
        <is>
          <t>Steve</t>
        </is>
      </c>
      <c r="C70" s="2" t="n">
        <v>46253.5024537037</v>
      </c>
      <c r="D70">
        <f>IF(C70="","",TEXT(C70,"dddd"))</f>
        <v/>
      </c>
      <c r="E70" s="3" t="n">
        <v>46253</v>
      </c>
      <c r="F70">
        <f>IF(E70="","",TEXT(E70,"dddd"))</f>
        <v/>
      </c>
      <c r="G70" t="inlineStr">
        <is>
          <t>1:10 PM</t>
        </is>
      </c>
      <c r="H70" t="inlineStr">
        <is>
          <t>N</t>
        </is>
      </c>
      <c r="I70" t="inlineStr"/>
      <c r="J70" t="inlineStr">
        <is>
          <t>MLB</t>
        </is>
      </c>
      <c r="K70" t="inlineStr">
        <is>
          <t>MLB</t>
        </is>
      </c>
      <c r="L70" t="inlineStr">
        <is>
          <t>ML</t>
        </is>
      </c>
      <c r="M70" t="inlineStr">
        <is>
          <t>San Diego Padres F5 1x2 vs NY Mets</t>
        </is>
      </c>
      <c r="N70" t="n">
        <v>1</v>
      </c>
      <c r="O70" t="inlineStr">
        <is>
          <t>-104</t>
        </is>
      </c>
      <c r="P70" s="4" t="n">
        <v>1.9615</v>
      </c>
      <c r="Q70" s="5" t="n">
        <v>100000</v>
      </c>
      <c r="R70" t="inlineStr"/>
      <c r="S70" s="5" t="n">
        <v>196000</v>
      </c>
      <c r="T70" t="inlineStr">
        <is>
          <t>Gamdom</t>
        </is>
      </c>
      <c r="U70" t="inlineStr">
        <is>
          <t>L</t>
        </is>
      </c>
      <c r="V70" s="5">
        <f>IF(NOT(ISNUMBER(Q70)),"",IF(U70="W",IF(ISNUMBER(S70),S70-Q70,IF(ISNUMBER(P70),Q70*(P70-1),"")),IF(U70="L",-Q70,IF(U70="Push",0,""))))</f>
        <v/>
      </c>
      <c r="W70">
        <f>IF(NOT(ISNUMBER(R70)),"",IF(U70="W",IF(ISNUMBER(P70),R70*(P70-1),""),IF(U70="L",-R70,IF(U70="Push",0,""))))</f>
        <v/>
      </c>
      <c r="X70" t="inlineStr">
        <is>
          <t>graded from final</t>
        </is>
      </c>
      <c r="Y70" t="inlineStr">
        <is>
          <t>Y - tags Gamdom</t>
        </is>
      </c>
      <c r="Z70" t="inlineStr">
        <is>
          <t>https://x.com/stevewilldoit/status/2090122504991810023</t>
        </is>
      </c>
      <c r="AA70" t="inlineStr">
        <is>
          <t>"Not looking good"; "push if we tie" (actually a 3-way market)</t>
        </is>
      </c>
      <c r="AB70" t="inlineStr">
        <is>
          <t>Single</t>
        </is>
      </c>
      <c r="AC70" s="5">
        <f>IF(ISNUMBER(V70),Q70,"")</f>
        <v/>
      </c>
      <c r="AD70">
        <f>IF(ISNUMBER(W70),R70,"")</f>
        <v/>
      </c>
    </row>
    <row r="71">
      <c r="A71" t="inlineStr">
        <is>
          <t>T-011970</t>
        </is>
      </c>
      <c r="B71" t="inlineStr">
        <is>
          <t>Trent</t>
        </is>
      </c>
      <c r="C71" s="2" t="n">
        <v>46253.6247337963</v>
      </c>
      <c r="D71">
        <f>IF(C71="","",TEXT(C71,"dddd"))</f>
        <v/>
      </c>
      <c r="E71" s="3" t="n">
        <v>46253</v>
      </c>
      <c r="F71">
        <f>IF(E71="","",TEXT(E71,"dddd"))</f>
        <v/>
      </c>
      <c r="G71" t="inlineStr">
        <is>
          <t>not matched</t>
        </is>
      </c>
      <c r="H71" t="inlineStr">
        <is>
          <t>N</t>
        </is>
      </c>
      <c r="I71" t="inlineStr"/>
      <c r="J71" t="inlineStr">
        <is>
          <t>MLB</t>
        </is>
      </c>
      <c r="K71" t="inlineStr">
        <is>
          <t>MLB</t>
        </is>
      </c>
      <c r="L71" t="inlineStr">
        <is>
          <t>PrizePicks/DFS</t>
        </is>
      </c>
      <c r="M71" t="inlineStr">
        <is>
          <t>Parker Messick o37.5 PFS; Drew Rasmussen u1.5 ER; Elly De La Cruz o7.5 HFS; Andy Pages o2.5 H+R+RBI</t>
        </is>
      </c>
      <c r="N71" t="n">
        <v>4</v>
      </c>
      <c r="O71" t="inlineStr">
        <is>
          <t>not shown</t>
        </is>
      </c>
      <c r="P71" s="4" t="n">
        <v>10</v>
      </c>
      <c r="Q71" s="5" t="n">
        <v>1000</v>
      </c>
      <c r="R71" t="inlineStr"/>
      <c r="S71" s="5" t="n">
        <v>10000</v>
      </c>
      <c r="T71" t="inlineStr">
        <is>
          <t>PrizePicks</t>
        </is>
      </c>
      <c r="U71" t="inlineStr">
        <is>
          <t>L</t>
        </is>
      </c>
      <c r="V71" s="5">
        <f>IF(NOT(ISNUMBER(Q71)),"",IF(U71="W",IF(ISNUMBER(S71),S71-Q71,IF(ISNUMBER(P71),Q71*(P71-1),"")),IF(U71="L",-Q71,IF(U71="Push",0,""))))</f>
        <v/>
      </c>
      <c r="W71">
        <f>IF(NOT(ISNUMBER(R71)),"",IF(U71="W",IF(ISNUMBER(P71),R71*(P71-1),""),IF(U71="L",-R71,IF(U71="Push",0,""))))</f>
        <v/>
      </c>
      <c r="X71" t="inlineStr">
        <is>
          <t>graded from final</t>
        </is>
      </c>
      <c r="Y71" t="inlineStr">
        <is>
          <t>N</t>
        </is>
      </c>
      <c r="Z71" t="inlineStr">
        <is>
          <t>https://x.com/BookitWithTrent/status/2090166817260011970</t>
        </is>
      </c>
      <c r="AA71" t="inlineStr">
        <is>
          <t>Final: Rasmussen 5 ER; Decimal odds derived from payout/stake</t>
        </is>
      </c>
      <c r="AB71" t="inlineStr">
        <is>
          <t>Parlay/multi-leg</t>
        </is>
      </c>
      <c r="AC71" s="5">
        <f>IF(ISNUMBER(V71),Q71,"")</f>
        <v/>
      </c>
      <c r="AD71">
        <f>IF(ISNUMBER(W71),R71,"")</f>
        <v/>
      </c>
    </row>
    <row r="72">
      <c r="A72" t="inlineStr">
        <is>
          <t>T-532165</t>
        </is>
      </c>
      <c r="B72" t="inlineStr">
        <is>
          <t>Trent</t>
        </is>
      </c>
      <c r="C72" s="2" t="n">
        <v>46253.63554398148</v>
      </c>
      <c r="D72">
        <f>IF(C72="","",TEXT(C72,"dddd"))</f>
        <v/>
      </c>
      <c r="E72" s="3" t="n">
        <v>46253</v>
      </c>
      <c r="F72">
        <f>IF(E72="","",TEXT(E72,"dddd"))</f>
        <v/>
      </c>
      <c r="G72" t="inlineStr">
        <is>
          <t>6:40 PM</t>
        </is>
      </c>
      <c r="H72" t="inlineStr">
        <is>
          <t>N</t>
        </is>
      </c>
      <c r="I72" t="inlineStr"/>
      <c r="J72" t="inlineStr">
        <is>
          <t>MLB</t>
        </is>
      </c>
      <c r="K72" t="inlineStr">
        <is>
          <t>MLB</t>
        </is>
      </c>
      <c r="L72" t="inlineStr">
        <is>
          <t>spread</t>
        </is>
      </c>
      <c r="M72" t="inlineStr">
        <is>
          <t>Guardians -1.5</t>
        </is>
      </c>
      <c r="N72" t="n">
        <v>1</v>
      </c>
      <c r="O72" t="inlineStr">
        <is>
          <t>-105</t>
        </is>
      </c>
      <c r="P72" s="4" t="n">
        <v>1.9524</v>
      </c>
      <c r="Q72" s="5" t="inlineStr"/>
      <c r="R72" t="inlineStr"/>
      <c r="S72" s="5" t="inlineStr"/>
      <c r="T72" t="inlineStr">
        <is>
          <t>not shown</t>
        </is>
      </c>
      <c r="U72" t="inlineStr">
        <is>
          <t>L</t>
        </is>
      </c>
      <c r="V72" s="5">
        <f>IF(NOT(ISNUMBER(Q72)),"",IF(U72="W",IF(ISNUMBER(S72),S72-Q72,IF(ISNUMBER(P72),Q72*(P72-1),"")),IF(U72="L",-Q72,IF(U72="Push",0,""))))</f>
        <v/>
      </c>
      <c r="W72">
        <f>IF(NOT(ISNUMBER(R72)),"",IF(U72="W",IF(ISNUMBER(P72),R72*(P72-1),""),IF(U72="L",-R72,IF(U72="Push",0,""))))</f>
        <v/>
      </c>
      <c r="X72" t="inlineStr">
        <is>
          <t>posted</t>
        </is>
      </c>
      <c r="Y72" t="inlineStr">
        <is>
          <t>N</t>
        </is>
      </c>
      <c r="Z72" t="inlineStr">
        <is>
          <t>https://x.com/BookitWithTrent/status/2090170737537532165</t>
        </is>
      </c>
      <c r="AA72" t="inlineStr">
        <is>
          <t>"Nuke of the Night"; "lost every bet today"</t>
        </is>
      </c>
      <c r="AB72" t="inlineStr">
        <is>
          <t>Single</t>
        </is>
      </c>
      <c r="AC72" s="5">
        <f>IF(ISNUMBER(V72),Q72,"")</f>
        <v/>
      </c>
      <c r="AD72">
        <f>IF(ISNUMBER(W72),R72,"")</f>
        <v/>
      </c>
    </row>
    <row r="73">
      <c r="A73" t="inlineStr">
        <is>
          <t>S-963765</t>
        </is>
      </c>
      <c r="B73" t="inlineStr">
        <is>
          <t>Steve</t>
        </is>
      </c>
      <c r="C73" s="2" t="n">
        <v>46253.69203703704</v>
      </c>
      <c r="D73">
        <f>IF(C73="","",TEXT(C73,"dddd"))</f>
        <v/>
      </c>
      <c r="E73" s="3" t="n">
        <v>46253</v>
      </c>
      <c r="F73">
        <f>IF(E73="","",TEXT(E73,"dddd"))</f>
        <v/>
      </c>
      <c r="G73" t="inlineStr">
        <is>
          <t>6:40 PM</t>
        </is>
      </c>
      <c r="H73" t="inlineStr">
        <is>
          <t>N</t>
        </is>
      </c>
      <c r="I73" t="inlineStr"/>
      <c r="J73" t="inlineStr">
        <is>
          <t>MLB</t>
        </is>
      </c>
      <c r="K73" t="inlineStr">
        <is>
          <t>MLB</t>
        </is>
      </c>
      <c r="L73" t="inlineStr">
        <is>
          <t>total</t>
        </is>
      </c>
      <c r="M73" t="inlineStr">
        <is>
          <t>Guardians vs Giants F5 Under 4</t>
        </is>
      </c>
      <c r="N73" t="n">
        <v>1</v>
      </c>
      <c r="O73" t="inlineStr">
        <is>
          <t>-122</t>
        </is>
      </c>
      <c r="P73" s="4" t="n">
        <v>1.8197</v>
      </c>
      <c r="Q73" s="5" t="n">
        <v>75000</v>
      </c>
      <c r="R73" t="inlineStr"/>
      <c r="S73" s="5" t="n">
        <v>136500</v>
      </c>
      <c r="T73" t="inlineStr">
        <is>
          <t>Gamdom</t>
        </is>
      </c>
      <c r="U73" t="inlineStr">
        <is>
          <t>W</t>
        </is>
      </c>
      <c r="V73" s="5">
        <f>IF(NOT(ISNUMBER(Q73)),"",IF(U73="W",IF(ISNUMBER(S73),S73-Q73,IF(ISNUMBER(P73),Q73*(P73-1),"")),IF(U73="L",-Q73,IF(U73="Push",0,""))))</f>
        <v/>
      </c>
      <c r="W73">
        <f>IF(NOT(ISNUMBER(R73)),"",IF(U73="W",IF(ISNUMBER(P73),R73*(P73-1),""),IF(U73="L",-R73,IF(U73="Push",0,""))))</f>
        <v/>
      </c>
      <c r="X73" t="inlineStr">
        <is>
          <t>graded from final</t>
        </is>
      </c>
      <c r="Y73" t="inlineStr">
        <is>
          <t>Y - tags Gamdom</t>
        </is>
      </c>
      <c r="Z73" t="inlineStr">
        <is>
          <t>https://x.com/stevewilldoit/status/2090191206797963765</t>
        </is>
      </c>
      <c r="AA73" t="inlineStr">
        <is>
          <t>AI guy pick</t>
        </is>
      </c>
      <c r="AB73" t="inlineStr">
        <is>
          <t>Single</t>
        </is>
      </c>
      <c r="AC73" s="5">
        <f>IF(ISNUMBER(V73),Q73,"")</f>
        <v/>
      </c>
      <c r="AD73">
        <f>IF(ISNUMBER(W73),R73,"")</f>
        <v/>
      </c>
    </row>
    <row r="74">
      <c r="A74" t="inlineStr">
        <is>
          <t>S-308082</t>
        </is>
      </c>
      <c r="B74" t="inlineStr">
        <is>
          <t>Steve</t>
        </is>
      </c>
      <c r="C74" s="2" t="n">
        <v>46253.72043981482</v>
      </c>
      <c r="D74">
        <f>IF(C74="","",TEXT(C74,"dddd"))</f>
        <v/>
      </c>
      <c r="E74" s="3" t="n">
        <v>46253</v>
      </c>
      <c r="F74">
        <f>IF(E74="","",TEXT(E74,"dddd"))</f>
        <v/>
      </c>
      <c r="G74" t="inlineStr">
        <is>
          <t>6:40 PM</t>
        </is>
      </c>
      <c r="H74" t="inlineStr">
        <is>
          <t>N</t>
        </is>
      </c>
      <c r="I74" t="inlineStr"/>
      <c r="J74" t="inlineStr">
        <is>
          <t>MLB</t>
        </is>
      </c>
      <c r="K74" t="inlineStr">
        <is>
          <t>MLB</t>
        </is>
      </c>
      <c r="L74" t="inlineStr">
        <is>
          <t>total</t>
        </is>
      </c>
      <c r="M74" t="inlineStr">
        <is>
          <t>Guardians vs Giants F5 Under 4.5</t>
        </is>
      </c>
      <c r="N74" t="n">
        <v>1</v>
      </c>
      <c r="O74" t="inlineStr">
        <is>
          <t>-167</t>
        </is>
      </c>
      <c r="P74" s="4" t="n">
        <v>1.5988</v>
      </c>
      <c r="Q74" s="5" t="n">
        <v>53000</v>
      </c>
      <c r="R74" t="inlineStr"/>
      <c r="S74" s="5" t="n">
        <v>84800</v>
      </c>
      <c r="T74" t="inlineStr">
        <is>
          <t>Gamdom</t>
        </is>
      </c>
      <c r="U74" t="inlineStr">
        <is>
          <t>W</t>
        </is>
      </c>
      <c r="V74" s="5">
        <f>IF(NOT(ISNUMBER(Q74)),"",IF(U74="W",IF(ISNUMBER(S74),S74-Q74,IF(ISNUMBER(P74),Q74*(P74-1),"")),IF(U74="L",-Q74,IF(U74="Push",0,""))))</f>
        <v/>
      </c>
      <c r="W74">
        <f>IF(NOT(ISNUMBER(R74)),"",IF(U74="W",IF(ISNUMBER(P74),R74*(P74-1),""),IF(U74="L",-R74,IF(U74="Push",0,""))))</f>
        <v/>
      </c>
      <c r="X74" t="inlineStr">
        <is>
          <t>graded from final</t>
        </is>
      </c>
      <c r="Y74" t="inlineStr">
        <is>
          <t>N</t>
        </is>
      </c>
      <c r="Z74" t="inlineStr">
        <is>
          <t>https://x.com/stevewilldoit/status/2090201501503308082</t>
        </is>
      </c>
      <c r="AA74" t="inlineStr">
        <is>
          <t>Added after the U4 bet ("Fuck it")</t>
        </is>
      </c>
      <c r="AB74" t="inlineStr">
        <is>
          <t>Single</t>
        </is>
      </c>
      <c r="AC74" s="5">
        <f>IF(ISNUMBER(V74),Q74,"")</f>
        <v/>
      </c>
      <c r="AD74">
        <f>IF(ISNUMBER(W74),R74,"")</f>
        <v/>
      </c>
    </row>
    <row r="75">
      <c r="A75" t="inlineStr">
        <is>
          <t>S-738112</t>
        </is>
      </c>
      <c r="B75" t="inlineStr">
        <is>
          <t>Steve</t>
        </is>
      </c>
      <c r="C75" s="2" t="n">
        <v>46253.7927662037</v>
      </c>
      <c r="D75">
        <f>IF(C75="","",TEXT(C75,"dddd"))</f>
        <v/>
      </c>
      <c r="E75" s="3" t="n">
        <v>46253</v>
      </c>
      <c r="F75">
        <f>IF(E75="","",TEXT(E75,"dddd"))</f>
        <v/>
      </c>
      <c r="G75" t="inlineStr">
        <is>
          <t>8:05 PM</t>
        </is>
      </c>
      <c r="H75" t="inlineStr">
        <is>
          <t>N</t>
        </is>
      </c>
      <c r="I75" t="inlineStr"/>
      <c r="J75" t="inlineStr">
        <is>
          <t>MLB</t>
        </is>
      </c>
      <c r="K75" t="inlineStr">
        <is>
          <t>MLB</t>
        </is>
      </c>
      <c r="L75" t="inlineStr">
        <is>
          <t>ML</t>
        </is>
      </c>
      <c r="M75" t="inlineStr">
        <is>
          <t>Washington Nationals ML vs Texas Rangers</t>
        </is>
      </c>
      <c r="N75" t="n">
        <v>1</v>
      </c>
      <c r="O75" t="inlineStr">
        <is>
          <t>+109</t>
        </is>
      </c>
      <c r="P75" s="4" t="n">
        <v>2.09</v>
      </c>
      <c r="Q75" s="5" t="n">
        <v>50000</v>
      </c>
      <c r="R75" t="inlineStr"/>
      <c r="S75" s="5" t="n">
        <v>104500</v>
      </c>
      <c r="T75" t="inlineStr">
        <is>
          <t>Gamdom</t>
        </is>
      </c>
      <c r="U75" t="inlineStr">
        <is>
          <t>W</t>
        </is>
      </c>
      <c r="V75" s="5">
        <f>IF(NOT(ISNUMBER(Q75)),"",IF(U75="W",IF(ISNUMBER(S75),S75-Q75,IF(ISNUMBER(P75),Q75*(P75-1),"")),IF(U75="L",-Q75,IF(U75="Push",0,""))))</f>
        <v/>
      </c>
      <c r="W75">
        <f>IF(NOT(ISNUMBER(R75)),"",IF(U75="W",IF(ISNUMBER(P75),R75*(P75-1),""),IF(U75="L",-R75,IF(U75="Push",0,""))))</f>
        <v/>
      </c>
      <c r="X75" t="inlineStr">
        <is>
          <t>graded from final</t>
        </is>
      </c>
      <c r="Y75" t="inlineStr">
        <is>
          <t>N</t>
        </is>
      </c>
      <c r="Z75" t="inlineStr">
        <is>
          <t>https://x.com/stevewilldoit/status/2090227712589738112</t>
        </is>
      </c>
      <c r="AA75" t="inlineStr">
        <is>
          <t>"Not confident play at all"</t>
        </is>
      </c>
      <c r="AB75" t="inlineStr">
        <is>
          <t>Single</t>
        </is>
      </c>
      <c r="AC75" s="5">
        <f>IF(ISNUMBER(V75),Q75,"")</f>
        <v/>
      </c>
      <c r="AD75">
        <f>IF(ISNUMBER(W75),R75,"")</f>
        <v/>
      </c>
    </row>
    <row r="76">
      <c r="A76" t="inlineStr">
        <is>
          <t>S-276650</t>
        </is>
      </c>
      <c r="B76" t="inlineStr">
        <is>
          <t>Steve</t>
        </is>
      </c>
      <c r="C76" s="2" t="n">
        <v>46253.88148148148</v>
      </c>
      <c r="D76">
        <f>IF(C76="","",TEXT(C76,"dddd"))</f>
        <v/>
      </c>
      <c r="E76" s="3" t="n">
        <v>46253</v>
      </c>
      <c r="F76">
        <f>IF(E76="","",TEXT(E76,"dddd"))</f>
        <v/>
      </c>
      <c r="G76" t="inlineStr">
        <is>
          <t>8:05 PM</t>
        </is>
      </c>
      <c r="H76" t="inlineStr">
        <is>
          <t>N</t>
        </is>
      </c>
      <c r="I76" t="inlineStr"/>
      <c r="J76" t="inlineStr">
        <is>
          <t>MLB</t>
        </is>
      </c>
      <c r="K76" t="inlineStr">
        <is>
          <t>MLB</t>
        </is>
      </c>
      <c r="L76" t="inlineStr">
        <is>
          <t>spread</t>
        </is>
      </c>
      <c r="M76" t="inlineStr">
        <is>
          <t>Washington Nationals -1.5 (live, up 2-0) vs Texas Rangers</t>
        </is>
      </c>
      <c r="N76" t="n">
        <v>1</v>
      </c>
      <c r="O76" t="inlineStr">
        <is>
          <t>-133</t>
        </is>
      </c>
      <c r="P76" s="4" t="n">
        <v>1.7519</v>
      </c>
      <c r="Q76" s="5" t="n">
        <v>137000</v>
      </c>
      <c r="R76" t="inlineStr"/>
      <c r="S76" s="5" t="n">
        <v>239750</v>
      </c>
      <c r="T76" t="inlineStr">
        <is>
          <t>Gamdom</t>
        </is>
      </c>
      <c r="U76" t="inlineStr">
        <is>
          <t>W</t>
        </is>
      </c>
      <c r="V76" s="5">
        <f>IF(NOT(ISNUMBER(Q76)),"",IF(U76="W",IF(ISNUMBER(S76),S76-Q76,IF(ISNUMBER(P76),Q76*(P76-1),"")),IF(U76="L",-Q76,IF(U76="Push",0,""))))</f>
        <v/>
      </c>
      <c r="W76">
        <f>IF(NOT(ISNUMBER(R76)),"",IF(U76="W",IF(ISNUMBER(P76),R76*(P76-1),""),IF(U76="L",-R76,IF(U76="Push",0,""))))</f>
        <v/>
      </c>
      <c r="X76" t="inlineStr">
        <is>
          <t>graded from final</t>
        </is>
      </c>
      <c r="Y76" t="inlineStr">
        <is>
          <t>Y - tags Gamdom</t>
        </is>
      </c>
      <c r="Z76" t="inlineStr">
        <is>
          <t>https://x.com/stevewilldoit/status/2090259861053276650</t>
        </is>
      </c>
      <c r="AA76" t="inlineStr">
        <is>
          <t>"Bet this on accident live when we were up 2-0... Let's go"</t>
        </is>
      </c>
      <c r="AB76" t="inlineStr">
        <is>
          <t>Single</t>
        </is>
      </c>
      <c r="AC76" s="5">
        <f>IF(ISNUMBER(V76),Q76,"")</f>
        <v/>
      </c>
      <c r="AD76">
        <f>IF(ISNUMBER(W76),R76,"")</f>
        <v/>
      </c>
    </row>
    <row r="77">
      <c r="A77" t="inlineStr">
        <is>
          <t>T-054664</t>
        </is>
      </c>
      <c r="B77" t="inlineStr">
        <is>
          <t>Trent</t>
        </is>
      </c>
      <c r="C77" s="2" t="n">
        <v>46254.45957175926</v>
      </c>
      <c r="D77">
        <f>IF(C77="","",TEXT(C77,"dddd"))</f>
        <v/>
      </c>
      <c r="E77" s="3" t="n">
        <v>46254</v>
      </c>
      <c r="F77">
        <f>IF(E77="","",TEXT(E77,"dddd"))</f>
        <v/>
      </c>
      <c r="G77" t="inlineStr">
        <is>
          <t>12:40 PM</t>
        </is>
      </c>
      <c r="H77" t="inlineStr">
        <is>
          <t>N</t>
        </is>
      </c>
      <c r="I77" t="inlineStr"/>
      <c r="J77" t="inlineStr">
        <is>
          <t>MLB</t>
        </is>
      </c>
      <c r="K77" t="inlineStr">
        <is>
          <t>MLB</t>
        </is>
      </c>
      <c r="L77" t="inlineStr">
        <is>
          <t>total</t>
        </is>
      </c>
      <c r="M77" t="inlineStr">
        <is>
          <t>Cardinals/Reds Over 8.5</t>
        </is>
      </c>
      <c r="N77" t="n">
        <v>1</v>
      </c>
      <c r="O77" t="inlineStr">
        <is>
          <t>not shown</t>
        </is>
      </c>
      <c r="P77" s="4" t="inlineStr"/>
      <c r="Q77" s="5" t="inlineStr"/>
      <c r="R77" t="inlineStr"/>
      <c r="S77" s="5" t="inlineStr"/>
      <c r="T77" t="inlineStr">
        <is>
          <t>not shown</t>
        </is>
      </c>
      <c r="U77" t="inlineStr">
        <is>
          <t>W</t>
        </is>
      </c>
      <c r="V77" s="5">
        <f>IF(NOT(ISNUMBER(Q77)),"",IF(U77="W",IF(ISNUMBER(S77),S77-Q77,IF(ISNUMBER(P77),Q77*(P77-1),"")),IF(U77="L",-Q77,IF(U77="Push",0,""))))</f>
        <v/>
      </c>
      <c r="W77">
        <f>IF(NOT(ISNUMBER(R77)),"",IF(U77="W",IF(ISNUMBER(P77),R77*(P77-1),""),IF(U77="L",-R77,IF(U77="Push",0,""))))</f>
        <v/>
      </c>
      <c r="X77" t="inlineStr">
        <is>
          <t>graded from final</t>
        </is>
      </c>
      <c r="Y77" t="inlineStr">
        <is>
          <t>N</t>
        </is>
      </c>
      <c r="Z77" t="inlineStr">
        <is>
          <t>https://x.com/BookitWithTrent/status/2090469355205054664</t>
        </is>
      </c>
      <c r="AA77" t="inlineStr">
        <is>
          <t>Daytime card</t>
        </is>
      </c>
      <c r="AB77" t="inlineStr">
        <is>
          <t>Single</t>
        </is>
      </c>
      <c r="AC77" s="5">
        <f>IF(ISNUMBER(V77),Q77,"")</f>
        <v/>
      </c>
      <c r="AD77">
        <f>IF(ISNUMBER(W77),R77,"")</f>
        <v/>
      </c>
    </row>
    <row r="78">
      <c r="A78" t="inlineStr">
        <is>
          <t>T-054664b</t>
        </is>
      </c>
      <c r="B78" t="inlineStr">
        <is>
          <t>Trent</t>
        </is>
      </c>
      <c r="C78" s="2" t="n">
        <v>46254.45957175926</v>
      </c>
      <c r="D78">
        <f>IF(C78="","",TEXT(C78,"dddd"))</f>
        <v/>
      </c>
      <c r="E78" s="3" t="n">
        <v>46254</v>
      </c>
      <c r="F78">
        <f>IF(E78="","",TEXT(E78,"dddd"))</f>
        <v/>
      </c>
      <c r="G78" t="inlineStr">
        <is>
          <t>1:10 PM</t>
        </is>
      </c>
      <c r="H78" t="inlineStr">
        <is>
          <t>N</t>
        </is>
      </c>
      <c r="I78" t="inlineStr"/>
      <c r="J78" t="inlineStr">
        <is>
          <t>MLB</t>
        </is>
      </c>
      <c r="K78" t="inlineStr">
        <is>
          <t>MLB</t>
        </is>
      </c>
      <c r="L78" t="inlineStr">
        <is>
          <t>total</t>
        </is>
      </c>
      <c r="M78" t="inlineStr">
        <is>
          <t>Giants/Guardians Under 7</t>
        </is>
      </c>
      <c r="N78" t="n">
        <v>1</v>
      </c>
      <c r="O78" t="inlineStr">
        <is>
          <t>not shown</t>
        </is>
      </c>
      <c r="P78" s="4" t="inlineStr"/>
      <c r="Q78" s="5" t="inlineStr"/>
      <c r="R78" t="inlineStr"/>
      <c r="S78" s="5" t="inlineStr"/>
      <c r="T78" t="inlineStr">
        <is>
          <t>not shown</t>
        </is>
      </c>
      <c r="U78" t="inlineStr">
        <is>
          <t>Push</t>
        </is>
      </c>
      <c r="V78" s="5">
        <f>IF(NOT(ISNUMBER(Q78)),"",IF(U78="W",IF(ISNUMBER(S78),S78-Q78,IF(ISNUMBER(P78),Q78*(P78-1),"")),IF(U78="L",-Q78,IF(U78="Push",0,""))))</f>
        <v/>
      </c>
      <c r="W78">
        <f>IF(NOT(ISNUMBER(R78)),"",IF(U78="W",IF(ISNUMBER(P78),R78*(P78-1),""),IF(U78="L",-R78,IF(U78="Push",0,""))))</f>
        <v/>
      </c>
      <c r="X78" t="inlineStr">
        <is>
          <t>graded from final</t>
        </is>
      </c>
      <c r="Y78" t="inlineStr">
        <is>
          <t>N</t>
        </is>
      </c>
      <c r="Z78" t="inlineStr">
        <is>
          <t>https://x.com/BookitWithTrent/status/2090469355205054664</t>
        </is>
      </c>
      <c r="AA78" t="inlineStr">
        <is>
          <t>Daytime card</t>
        </is>
      </c>
      <c r="AB78" t="inlineStr">
        <is>
          <t>Single</t>
        </is>
      </c>
      <c r="AC78" s="5">
        <f>IF(ISNUMBER(V78),Q78,"")</f>
        <v/>
      </c>
      <c r="AD78">
        <f>IF(ISNUMBER(W78),R78,"")</f>
        <v/>
      </c>
    </row>
    <row r="79">
      <c r="A79" t="inlineStr">
        <is>
          <t>T-054664c</t>
        </is>
      </c>
      <c r="B79" t="inlineStr">
        <is>
          <t>Trent</t>
        </is>
      </c>
      <c r="C79" s="2" t="n">
        <v>46254.45957175926</v>
      </c>
      <c r="D79">
        <f>IF(C79="","",TEXT(C79,"dddd"))</f>
        <v/>
      </c>
      <c r="E79" s="3" t="n">
        <v>46254</v>
      </c>
      <c r="F79">
        <f>IF(E79="","",TEXT(E79,"dddd"))</f>
        <v/>
      </c>
      <c r="G79" t="inlineStr">
        <is>
          <t>1:10 PM</t>
        </is>
      </c>
      <c r="H79" t="inlineStr">
        <is>
          <t>N</t>
        </is>
      </c>
      <c r="I79" t="inlineStr"/>
      <c r="J79" t="inlineStr">
        <is>
          <t>MLB</t>
        </is>
      </c>
      <c r="K79" t="inlineStr">
        <is>
          <t>MLB</t>
        </is>
      </c>
      <c r="L79" t="inlineStr">
        <is>
          <t>spread</t>
        </is>
      </c>
      <c r="M79" t="inlineStr">
        <is>
          <t>Blue Jays +1.5</t>
        </is>
      </c>
      <c r="N79" t="n">
        <v>1</v>
      </c>
      <c r="O79" t="inlineStr">
        <is>
          <t>not shown</t>
        </is>
      </c>
      <c r="P79" s="4" t="inlineStr"/>
      <c r="Q79" s="5" t="inlineStr"/>
      <c r="R79" t="inlineStr"/>
      <c r="S79" s="5" t="inlineStr"/>
      <c r="T79" t="inlineStr">
        <is>
          <t>not shown</t>
        </is>
      </c>
      <c r="U79" t="inlineStr">
        <is>
          <t>W</t>
        </is>
      </c>
      <c r="V79" s="5">
        <f>IF(NOT(ISNUMBER(Q79)),"",IF(U79="W",IF(ISNUMBER(S79),S79-Q79,IF(ISNUMBER(P79),Q79*(P79-1),"")),IF(U79="L",-Q79,IF(U79="Push",0,""))))</f>
        <v/>
      </c>
      <c r="W79">
        <f>IF(NOT(ISNUMBER(R79)),"",IF(U79="W",IF(ISNUMBER(P79),R79*(P79-1),""),IF(U79="L",-R79,IF(U79="Push",0,""))))</f>
        <v/>
      </c>
      <c r="X79" t="inlineStr">
        <is>
          <t>graded from final</t>
        </is>
      </c>
      <c r="Y79" t="inlineStr">
        <is>
          <t>N</t>
        </is>
      </c>
      <c r="Z79" t="inlineStr">
        <is>
          <t>https://x.com/BookitWithTrent/status/2090469355205054664</t>
        </is>
      </c>
      <c r="AA79" t="inlineStr">
        <is>
          <t>Daytime card</t>
        </is>
      </c>
      <c r="AB79" t="inlineStr">
        <is>
          <t>Single</t>
        </is>
      </c>
      <c r="AC79" s="5">
        <f>IF(ISNUMBER(V79),Q79,"")</f>
        <v/>
      </c>
      <c r="AD79">
        <f>IF(ISNUMBER(W79),R79,"")</f>
        <v/>
      </c>
    </row>
    <row r="80">
      <c r="A80" t="inlineStr">
        <is>
          <t>T-054664d</t>
        </is>
      </c>
      <c r="B80" t="inlineStr">
        <is>
          <t>Trent</t>
        </is>
      </c>
      <c r="C80" s="2" t="n">
        <v>46254.45957175926</v>
      </c>
      <c r="D80">
        <f>IF(C80="","",TEXT(C80,"dddd"))</f>
        <v/>
      </c>
      <c r="E80" s="3" t="n">
        <v>46254</v>
      </c>
      <c r="F80">
        <f>IF(E80="","",TEXT(E80,"dddd"))</f>
        <v/>
      </c>
      <c r="G80" t="inlineStr">
        <is>
          <t>2:10 PM</t>
        </is>
      </c>
      <c r="H80" t="inlineStr">
        <is>
          <t>N</t>
        </is>
      </c>
      <c r="I80" t="inlineStr"/>
      <c r="J80" t="inlineStr">
        <is>
          <t>MLB</t>
        </is>
      </c>
      <c r="K80" t="inlineStr">
        <is>
          <t>MLB</t>
        </is>
      </c>
      <c r="L80" t="inlineStr">
        <is>
          <t>ML</t>
        </is>
      </c>
      <c r="M80" t="inlineStr">
        <is>
          <t>Brewers ML</t>
        </is>
      </c>
      <c r="N80" t="n">
        <v>1</v>
      </c>
      <c r="O80" t="inlineStr">
        <is>
          <t>not shown</t>
        </is>
      </c>
      <c r="P80" s="4" t="inlineStr"/>
      <c r="Q80" s="5" t="inlineStr"/>
      <c r="R80" t="inlineStr"/>
      <c r="S80" s="5" t="inlineStr"/>
      <c r="T80" t="inlineStr">
        <is>
          <t>not shown</t>
        </is>
      </c>
      <c r="U80" t="inlineStr">
        <is>
          <t>W</t>
        </is>
      </c>
      <c r="V80" s="5">
        <f>IF(NOT(ISNUMBER(Q80)),"",IF(U80="W",IF(ISNUMBER(S80),S80-Q80,IF(ISNUMBER(P80),Q80*(P80-1),"")),IF(U80="L",-Q80,IF(U80="Push",0,""))))</f>
        <v/>
      </c>
      <c r="W80">
        <f>IF(NOT(ISNUMBER(R80)),"",IF(U80="W",IF(ISNUMBER(P80),R80*(P80-1),""),IF(U80="L",-R80,IF(U80="Push",0,""))))</f>
        <v/>
      </c>
      <c r="X80" t="inlineStr">
        <is>
          <t>graded from final</t>
        </is>
      </c>
      <c r="Y80" t="inlineStr">
        <is>
          <t>N</t>
        </is>
      </c>
      <c r="Z80" t="inlineStr">
        <is>
          <t>https://x.com/BookitWithTrent/status/2090469355205054664</t>
        </is>
      </c>
      <c r="AA80" t="inlineStr">
        <is>
          <t>Daytime card</t>
        </is>
      </c>
      <c r="AB80" t="inlineStr">
        <is>
          <t>Single</t>
        </is>
      </c>
      <c r="AC80" s="5">
        <f>IF(ISNUMBER(V80),Q80,"")</f>
        <v/>
      </c>
      <c r="AD80">
        <f>IF(ISNUMBER(W80),R80,"")</f>
        <v/>
      </c>
    </row>
    <row r="81">
      <c r="A81" t="inlineStr">
        <is>
          <t>T-054664e</t>
        </is>
      </c>
      <c r="B81" t="inlineStr">
        <is>
          <t>Trent</t>
        </is>
      </c>
      <c r="C81" s="2" t="n">
        <v>46254.45957175926</v>
      </c>
      <c r="D81">
        <f>IF(C81="","",TEXT(C81,"dddd"))</f>
        <v/>
      </c>
      <c r="E81" s="3" t="n">
        <v>46254</v>
      </c>
      <c r="F81">
        <f>IF(E81="","",TEXT(E81,"dddd"))</f>
        <v/>
      </c>
      <c r="G81" t="inlineStr">
        <is>
          <t>2:10 PM</t>
        </is>
      </c>
      <c r="H81" t="inlineStr">
        <is>
          <t>N</t>
        </is>
      </c>
      <c r="I81" t="inlineStr"/>
      <c r="J81" t="inlineStr">
        <is>
          <t>MLB</t>
        </is>
      </c>
      <c r="K81" t="inlineStr">
        <is>
          <t>MLB</t>
        </is>
      </c>
      <c r="L81" t="inlineStr">
        <is>
          <t>ML</t>
        </is>
      </c>
      <c r="M81" t="inlineStr">
        <is>
          <t>Braves ML</t>
        </is>
      </c>
      <c r="N81" t="n">
        <v>1</v>
      </c>
      <c r="O81" t="inlineStr">
        <is>
          <t>not shown</t>
        </is>
      </c>
      <c r="P81" s="4" t="inlineStr"/>
      <c r="Q81" s="5" t="inlineStr"/>
      <c r="R81" t="inlineStr"/>
      <c r="S81" s="5" t="inlineStr"/>
      <c r="T81" t="inlineStr">
        <is>
          <t>not shown</t>
        </is>
      </c>
      <c r="U81" t="inlineStr">
        <is>
          <t>W</t>
        </is>
      </c>
      <c r="V81" s="5">
        <f>IF(NOT(ISNUMBER(Q81)),"",IF(U81="W",IF(ISNUMBER(S81),S81-Q81,IF(ISNUMBER(P81),Q81*(P81-1),"")),IF(U81="L",-Q81,IF(U81="Push",0,""))))</f>
        <v/>
      </c>
      <c r="W81">
        <f>IF(NOT(ISNUMBER(R81)),"",IF(U81="W",IF(ISNUMBER(P81),R81*(P81-1),""),IF(U81="L",-R81,IF(U81="Push",0,""))))</f>
        <v/>
      </c>
      <c r="X81" t="inlineStr">
        <is>
          <t>graded from final</t>
        </is>
      </c>
      <c r="Y81" t="inlineStr">
        <is>
          <t>N</t>
        </is>
      </c>
      <c r="Z81" t="inlineStr">
        <is>
          <t>https://x.com/BookitWithTrent/status/2090469355205054664</t>
        </is>
      </c>
      <c r="AA81" t="inlineStr">
        <is>
          <t>Daytime card</t>
        </is>
      </c>
      <c r="AB81" t="inlineStr">
        <is>
          <t>Single</t>
        </is>
      </c>
      <c r="AC81" s="5">
        <f>IF(ISNUMBER(V81),Q81,"")</f>
        <v/>
      </c>
      <c r="AD81">
        <f>IF(ISNUMBER(W81),R81,"")</f>
        <v/>
      </c>
    </row>
    <row r="82">
      <c r="A82" t="inlineStr">
        <is>
          <t>T-054664f</t>
        </is>
      </c>
      <c r="B82" t="inlineStr">
        <is>
          <t>Trent</t>
        </is>
      </c>
      <c r="C82" s="2" t="n">
        <v>46254.45957175926</v>
      </c>
      <c r="D82">
        <f>IF(C82="","",TEXT(C82,"dddd"))</f>
        <v/>
      </c>
      <c r="E82" s="3" t="n">
        <v>46254</v>
      </c>
      <c r="F82">
        <f>IF(E82="","",TEXT(E82,"dddd"))</f>
        <v/>
      </c>
      <c r="G82" t="inlineStr">
        <is>
          <t>2:10 PM</t>
        </is>
      </c>
      <c r="H82" t="inlineStr">
        <is>
          <t>N</t>
        </is>
      </c>
      <c r="I82" t="inlineStr"/>
      <c r="J82" t="inlineStr">
        <is>
          <t>MLB</t>
        </is>
      </c>
      <c r="K82" t="inlineStr">
        <is>
          <t>MLB</t>
        </is>
      </c>
      <c r="L82" t="inlineStr">
        <is>
          <t>total</t>
        </is>
      </c>
      <c r="M82" t="inlineStr">
        <is>
          <t>Royals/Athletics Under 8</t>
        </is>
      </c>
      <c r="N82" t="n">
        <v>1</v>
      </c>
      <c r="O82" t="inlineStr">
        <is>
          <t>not shown</t>
        </is>
      </c>
      <c r="P82" s="4" t="inlineStr"/>
      <c r="Q82" s="5" t="inlineStr"/>
      <c r="R82" t="inlineStr"/>
      <c r="S82" s="5" t="inlineStr"/>
      <c r="T82" t="inlineStr">
        <is>
          <t>not shown</t>
        </is>
      </c>
      <c r="U82" t="inlineStr">
        <is>
          <t>Push</t>
        </is>
      </c>
      <c r="V82" s="5">
        <f>IF(NOT(ISNUMBER(Q82)),"",IF(U82="W",IF(ISNUMBER(S82),S82-Q82,IF(ISNUMBER(P82),Q82*(P82-1),"")),IF(U82="L",-Q82,IF(U82="Push",0,""))))</f>
        <v/>
      </c>
      <c r="W82">
        <f>IF(NOT(ISNUMBER(R82)),"",IF(U82="W",IF(ISNUMBER(P82),R82*(P82-1),""),IF(U82="L",-R82,IF(U82="Push",0,""))))</f>
        <v/>
      </c>
      <c r="X82" t="inlineStr">
        <is>
          <t>graded from final</t>
        </is>
      </c>
      <c r="Y82" t="inlineStr">
        <is>
          <t>N</t>
        </is>
      </c>
      <c r="Z82" t="inlineStr">
        <is>
          <t>https://x.com/BookitWithTrent/status/2090469355205054664</t>
        </is>
      </c>
      <c r="AA82" t="inlineStr">
        <is>
          <t>Daytime card</t>
        </is>
      </c>
      <c r="AB82" t="inlineStr">
        <is>
          <t>Single</t>
        </is>
      </c>
      <c r="AC82" s="5">
        <f>IF(ISNUMBER(V82),Q82,"")</f>
        <v/>
      </c>
      <c r="AD82">
        <f>IF(ISNUMBER(W82),R82,"")</f>
        <v/>
      </c>
    </row>
    <row r="83">
      <c r="A83" t="inlineStr">
        <is>
          <t>S-208025</t>
        </is>
      </c>
      <c r="B83" t="inlineStr">
        <is>
          <t>Steve</t>
        </is>
      </c>
      <c r="C83" s="2" t="n">
        <v>46254.48319444444</v>
      </c>
      <c r="D83">
        <f>IF(C83="","",TEXT(C83,"dddd"))</f>
        <v/>
      </c>
      <c r="E83" s="3" t="n">
        <v>46254</v>
      </c>
      <c r="F83">
        <f>IF(E83="","",TEXT(E83,"dddd"))</f>
        <v/>
      </c>
      <c r="G83" t="inlineStr">
        <is>
          <t>12:40 PM</t>
        </is>
      </c>
      <c r="H83" t="inlineStr">
        <is>
          <t>N</t>
        </is>
      </c>
      <c r="I83" t="inlineStr"/>
      <c r="J83" t="inlineStr">
        <is>
          <t>MLB</t>
        </is>
      </c>
      <c r="K83" t="inlineStr">
        <is>
          <t>MLB</t>
        </is>
      </c>
      <c r="L83" t="inlineStr">
        <is>
          <t>ML</t>
        </is>
      </c>
      <c r="M83" t="inlineStr">
        <is>
          <t>St. Louis Cardinals F5 ML</t>
        </is>
      </c>
      <c r="N83" t="n">
        <v>1</v>
      </c>
      <c r="O83" t="inlineStr">
        <is>
          <t>+114</t>
        </is>
      </c>
      <c r="P83" s="4" t="n">
        <v>2.14</v>
      </c>
      <c r="Q83" s="5" t="n">
        <v>35000</v>
      </c>
      <c r="R83" t="inlineStr"/>
      <c r="S83" s="5" t="n">
        <v>74900</v>
      </c>
      <c r="T83" t="inlineStr">
        <is>
          <t>Gamdom</t>
        </is>
      </c>
      <c r="U83" t="inlineStr">
        <is>
          <t>W</t>
        </is>
      </c>
      <c r="V83" s="5">
        <f>IF(NOT(ISNUMBER(Q83)),"",IF(U83="W",IF(ISNUMBER(S83),S83-Q83,IF(ISNUMBER(P83),Q83*(P83-1),"")),IF(U83="L",-Q83,IF(U83="Push",0,""))))</f>
        <v/>
      </c>
      <c r="W83">
        <f>IF(NOT(ISNUMBER(R83)),"",IF(U83="W",IF(ISNUMBER(P83),R83*(P83-1),""),IF(U83="L",-R83,IF(U83="Push",0,""))))</f>
        <v/>
      </c>
      <c r="X83" t="inlineStr">
        <is>
          <t>graded from final</t>
        </is>
      </c>
      <c r="Y83" t="inlineStr">
        <is>
          <t>Y - tags Gamdom</t>
        </is>
      </c>
      <c r="Z83" t="inlineStr">
        <is>
          <t>https://x.com/stevewilldoit/status/2090477913246208025</t>
        </is>
      </c>
      <c r="AA83" t="inlineStr">
        <is>
          <t>AI guy text says "STL F5 ML -110"; slip odds 2.14 (discrepancy)</t>
        </is>
      </c>
      <c r="AB83" t="inlineStr">
        <is>
          <t>Single</t>
        </is>
      </c>
      <c r="AC83" s="5">
        <f>IF(ISNUMBER(V83),Q83,"")</f>
        <v/>
      </c>
      <c r="AD83">
        <f>IF(ISNUMBER(W83),R83,"")</f>
        <v/>
      </c>
    </row>
    <row r="84">
      <c r="A84" t="inlineStr">
        <is>
          <t>T-548389</t>
        </is>
      </c>
      <c r="B84" t="inlineStr">
        <is>
          <t>Trent</t>
        </is>
      </c>
      <c r="C84" s="2" t="n">
        <v>46254.68362268519</v>
      </c>
      <c r="D84">
        <f>IF(C84="","",TEXT(C84,"dddd"))</f>
        <v/>
      </c>
      <c r="E84" s="3" t="n">
        <v>46254</v>
      </c>
      <c r="F84">
        <f>IF(E84="","",TEXT(E84,"dddd"))</f>
        <v/>
      </c>
      <c r="G84" t="inlineStr">
        <is>
          <t>not matched</t>
        </is>
      </c>
      <c r="H84" t="inlineStr">
        <is>
          <t>N</t>
        </is>
      </c>
      <c r="I84" t="inlineStr"/>
      <c r="J84" t="inlineStr">
        <is>
          <t>MLB</t>
        </is>
      </c>
      <c r="K84" t="inlineStr">
        <is>
          <t>MLB</t>
        </is>
      </c>
      <c r="L84" t="inlineStr">
        <is>
          <t>PrizePicks/DFS</t>
        </is>
      </c>
      <c r="M84" t="inlineStr">
        <is>
          <t>Alec Burleson o7 HFS; Jose Ramirez o6.5 HFS; Alejandro Kirk o5 HFS; Jackson Chourio o5.5 HFS; Bobby Witt Jr. o7 HFS; Munetaka Murakami o5 HFS</t>
        </is>
      </c>
      <c r="N84" t="n">
        <v>6</v>
      </c>
      <c r="O84" t="inlineStr">
        <is>
          <t>not shown</t>
        </is>
      </c>
      <c r="P84" s="4" t="n">
        <v>37.5</v>
      </c>
      <c r="Q84" s="5" t="n">
        <v>500</v>
      </c>
      <c r="R84" t="inlineStr"/>
      <c r="S84" s="5" t="n">
        <v>18750</v>
      </c>
      <c r="T84" t="inlineStr">
        <is>
          <t>PrizePicks</t>
        </is>
      </c>
      <c r="U84" t="inlineStr">
        <is>
          <t>L</t>
        </is>
      </c>
      <c r="V84" s="5">
        <f>IF(NOT(ISNUMBER(Q84)),"",IF(U84="W",IF(ISNUMBER(S84),S84-Q84,IF(ISNUMBER(P84),Q84*(P84-1),"")),IF(U84="L",-Q84,IF(U84="Push",0,""))))</f>
        <v/>
      </c>
      <c r="W84">
        <f>IF(NOT(ISNUMBER(R84)),"",IF(U84="W",IF(ISNUMBER(P84),R84*(P84-1),""),IF(U84="L",-R84,IF(U84="Push",0,""))))</f>
        <v/>
      </c>
      <c r="X84" t="inlineStr">
        <is>
          <t>posted</t>
        </is>
      </c>
      <c r="Y84" t="inlineStr">
        <is>
          <t>N</t>
        </is>
      </c>
      <c r="Z84" t="inlineStr">
        <is>
          <t>https://x.com/BookitWithTrent/status/2090550544712548389</t>
        </is>
      </c>
      <c r="AA84" t="inlineStr">
        <is>
          <t>Murakami leg missed ("Fuck Murakami man"); Game date assumed = post date (CT); Decimal odds derived from payout/stake</t>
        </is>
      </c>
      <c r="AB84" t="inlineStr">
        <is>
          <t>Parlay/multi-leg</t>
        </is>
      </c>
      <c r="AC84" s="5">
        <f>IF(ISNUMBER(V84),Q84,"")</f>
        <v/>
      </c>
      <c r="AD84">
        <f>IF(ISNUMBER(W84),R84,"")</f>
        <v/>
      </c>
    </row>
    <row r="85">
      <c r="A85" t="inlineStr">
        <is>
          <t>T-720304</t>
        </is>
      </c>
      <c r="B85" t="inlineStr">
        <is>
          <t>Trent</t>
        </is>
      </c>
      <c r="C85" s="2" t="n">
        <v>46254.70762731481</v>
      </c>
      <c r="D85">
        <f>IF(C85="","",TEXT(C85,"dddd"))</f>
        <v/>
      </c>
      <c r="E85" s="3" t="n">
        <v>46254</v>
      </c>
      <c r="F85">
        <f>IF(E85="","",TEXT(E85,"dddd"))</f>
        <v/>
      </c>
      <c r="G85" t="inlineStr">
        <is>
          <t>8:00 PM</t>
        </is>
      </c>
      <c r="H85" t="inlineStr">
        <is>
          <t>Y</t>
        </is>
      </c>
      <c r="I85" t="inlineStr">
        <is>
          <t>TNF</t>
        </is>
      </c>
      <c r="J85" t="inlineStr">
        <is>
          <t>NFL</t>
        </is>
      </c>
      <c r="K85" t="inlineStr">
        <is>
          <t>NFL Preseason</t>
        </is>
      </c>
      <c r="L85" t="inlineStr">
        <is>
          <t>ML</t>
        </is>
      </c>
      <c r="M85" t="inlineStr">
        <is>
          <t>Raiders ML</t>
        </is>
      </c>
      <c r="N85" t="n">
        <v>1</v>
      </c>
      <c r="O85" t="inlineStr">
        <is>
          <t>not shown</t>
        </is>
      </c>
      <c r="P85" s="4" t="inlineStr"/>
      <c r="Q85" s="5" t="inlineStr"/>
      <c r="R85" t="inlineStr"/>
      <c r="S85" s="5" t="inlineStr"/>
      <c r="T85" t="inlineStr">
        <is>
          <t>not shown</t>
        </is>
      </c>
      <c r="U85" t="inlineStr">
        <is>
          <t>W</t>
        </is>
      </c>
      <c r="V85" s="5">
        <f>IF(NOT(ISNUMBER(Q85)),"",IF(U85="W",IF(ISNUMBER(S85),S85-Q85,IF(ISNUMBER(P85),Q85*(P85-1),"")),IF(U85="L",-Q85,IF(U85="Push",0,""))))</f>
        <v/>
      </c>
      <c r="W85">
        <f>IF(NOT(ISNUMBER(R85)),"",IF(U85="W",IF(ISNUMBER(P85),R85*(P85-1),""),IF(U85="L",-R85,IF(U85="Push",0,""))))</f>
        <v/>
      </c>
      <c r="X85" t="inlineStr">
        <is>
          <t>graded from final</t>
        </is>
      </c>
      <c r="Y85" t="inlineStr">
        <is>
          <t>N</t>
        </is>
      </c>
      <c r="Z85" t="inlineStr">
        <is>
          <t>https://x.com/BookitWithTrent/status/2090559247276720304</t>
        </is>
      </c>
      <c r="AA85" t="inlineStr">
        <is>
          <t>"MORTAL mega max"</t>
        </is>
      </c>
      <c r="AB85" t="inlineStr">
        <is>
          <t>Single</t>
        </is>
      </c>
      <c r="AC85" s="5">
        <f>IF(ISNUMBER(V85),Q85,"")</f>
        <v/>
      </c>
      <c r="AD85">
        <f>IF(ISNUMBER(W85),R85,"")</f>
        <v/>
      </c>
    </row>
    <row r="86">
      <c r="A86" t="inlineStr">
        <is>
          <t>T-027525</t>
        </is>
      </c>
      <c r="B86" t="inlineStr">
        <is>
          <t>Trent</t>
        </is>
      </c>
      <c r="C86" s="2" t="n">
        <v>46255.47918981482</v>
      </c>
      <c r="D86">
        <f>IF(C86="","",TEXT(C86,"dddd"))</f>
        <v/>
      </c>
      <c r="E86" s="3" t="n">
        <v>46255</v>
      </c>
      <c r="F86">
        <f>IF(E86="","",TEXT(E86,"dddd"))</f>
        <v/>
      </c>
      <c r="G86" t="inlineStr">
        <is>
          <t>4:10 PM</t>
        </is>
      </c>
      <c r="H86" t="inlineStr">
        <is>
          <t>N</t>
        </is>
      </c>
      <c r="I86" t="inlineStr"/>
      <c r="J86" t="inlineStr">
        <is>
          <t>MLB</t>
        </is>
      </c>
      <c r="K86" t="inlineStr">
        <is>
          <t>MLB</t>
        </is>
      </c>
      <c r="L86" t="inlineStr">
        <is>
          <t>total</t>
        </is>
      </c>
      <c r="M86" t="inlineStr">
        <is>
          <t>Braves/Brewers Under 5.5 ("Under of Eon")</t>
        </is>
      </c>
      <c r="N86" t="n">
        <v>1</v>
      </c>
      <c r="O86" t="inlineStr">
        <is>
          <t>+100</t>
        </is>
      </c>
      <c r="P86" s="4" t="n">
        <v>2</v>
      </c>
      <c r="Q86" s="5" t="n">
        <v>2500</v>
      </c>
      <c r="R86" t="n">
        <v>10</v>
      </c>
      <c r="S86" s="5" t="n">
        <v>5000</v>
      </c>
      <c r="T86" t="inlineStr">
        <is>
          <t>PrizePicks</t>
        </is>
      </c>
      <c r="U86" t="inlineStr">
        <is>
          <t>W</t>
        </is>
      </c>
      <c r="V86" s="5">
        <f>IF(NOT(ISNUMBER(Q86)),"",IF(U86="W",IF(ISNUMBER(S86),S86-Q86,IF(ISNUMBER(P86),Q86*(P86-1),"")),IF(U86="L",-Q86,IF(U86="Push",0,""))))</f>
        <v/>
      </c>
      <c r="W86">
        <f>IF(NOT(ISNUMBER(R86)),"",IF(U86="W",IF(ISNUMBER(P86),R86*(P86-1),""),IF(U86="L",-R86,IF(U86="Push",0,""))))</f>
        <v/>
      </c>
      <c r="X86" t="inlineStr">
        <is>
          <t>posted</t>
        </is>
      </c>
      <c r="Y86" t="inlineStr">
        <is>
          <t>N</t>
        </is>
      </c>
      <c r="Z86" t="inlineStr">
        <is>
          <t>https://x.com/BookitWithTrent/status/2090838851942027525</t>
        </is>
      </c>
      <c r="AA86" t="inlineStr">
        <is>
          <t>10U Mortal Mega Max; "CASH THE UNDER OF EON"</t>
        </is>
      </c>
      <c r="AB86" t="inlineStr">
        <is>
          <t>Single</t>
        </is>
      </c>
      <c r="AC86" s="5">
        <f>IF(ISNUMBER(V86),Q86,"")</f>
        <v/>
      </c>
      <c r="AD86">
        <f>IF(ISNUMBER(W86),R86,"")</f>
        <v/>
      </c>
    </row>
    <row r="87">
      <c r="A87" t="inlineStr">
        <is>
          <t>T-999585</t>
        </is>
      </c>
      <c r="B87" t="inlineStr">
        <is>
          <t>Trent</t>
        </is>
      </c>
      <c r="C87" s="2" t="n">
        <v>46255.48282407408</v>
      </c>
      <c r="D87">
        <f>IF(C87="","",TEXT(C87,"dddd"))</f>
        <v/>
      </c>
      <c r="E87" s="3" t="n">
        <v>46255</v>
      </c>
      <c r="F87">
        <f>IF(E87="","",TEXT(E87,"dddd"))</f>
        <v/>
      </c>
      <c r="G87" t="inlineStr">
        <is>
          <t>not matched</t>
        </is>
      </c>
      <c r="H87" t="inlineStr">
        <is>
          <t>N</t>
        </is>
      </c>
      <c r="I87" t="inlineStr"/>
      <c r="J87" t="inlineStr">
        <is>
          <t>MLB</t>
        </is>
      </c>
      <c r="K87" t="inlineStr">
        <is>
          <t>MLB</t>
        </is>
      </c>
      <c r="L87" t="inlineStr">
        <is>
          <t>PrizePicks/DFS</t>
        </is>
      </c>
      <c r="M87" t="inlineStr">
        <is>
          <t>Chris Sale o9.5 K; Jacob Misiorowski o9.5 K</t>
        </is>
      </c>
      <c r="N87" t="n">
        <v>2</v>
      </c>
      <c r="O87" t="inlineStr">
        <is>
          <t>not shown</t>
        </is>
      </c>
      <c r="P87" s="4" t="n">
        <v>5.75</v>
      </c>
      <c r="Q87" s="5" t="n">
        <v>1000</v>
      </c>
      <c r="R87" t="inlineStr"/>
      <c r="S87" s="5" t="n">
        <v>5750</v>
      </c>
      <c r="T87" t="inlineStr">
        <is>
          <t>PrizePicks</t>
        </is>
      </c>
      <c r="U87" t="inlineStr">
        <is>
          <t>L</t>
        </is>
      </c>
      <c r="V87" s="5">
        <f>IF(NOT(ISNUMBER(Q87)),"",IF(U87="W",IF(ISNUMBER(S87),S87-Q87,IF(ISNUMBER(P87),Q87*(P87-1),"")),IF(U87="L",-Q87,IF(U87="Push",0,""))))</f>
        <v/>
      </c>
      <c r="W87">
        <f>IF(NOT(ISNUMBER(R87)),"",IF(U87="W",IF(ISNUMBER(P87),R87*(P87-1),""),IF(U87="L",-R87,IF(U87="Push",0,""))))</f>
        <v/>
      </c>
      <c r="X87" t="inlineStr">
        <is>
          <t>graded from final</t>
        </is>
      </c>
      <c r="Y87" t="inlineStr">
        <is>
          <t>N</t>
        </is>
      </c>
      <c r="Z87" t="inlineStr">
        <is>
          <t>https://x.com/BookitWithTrent/status/2090840165639999585</t>
        </is>
      </c>
      <c r="AA87" t="inlineStr">
        <is>
          <t>"10 + 10 = $5.75k"; Final: Sale 6 K, Misiorowski 6 K; Decimal odds derived from payout/stake</t>
        </is>
      </c>
      <c r="AB87" t="inlineStr">
        <is>
          <t>Parlay/multi-leg</t>
        </is>
      </c>
      <c r="AC87" s="5">
        <f>IF(ISNUMBER(V87),Q87,"")</f>
        <v/>
      </c>
      <c r="AD87">
        <f>IF(ISNUMBER(W87),R87,"")</f>
        <v/>
      </c>
    </row>
    <row r="88">
      <c r="A88" t="inlineStr">
        <is>
          <t>S-992483</t>
        </is>
      </c>
      <c r="B88" t="inlineStr">
        <is>
          <t>Steve</t>
        </is>
      </c>
      <c r="C88" s="2" t="n">
        <v>46255.5728125</v>
      </c>
      <c r="D88">
        <f>IF(C88="","",TEXT(C88,"dddd"))</f>
        <v/>
      </c>
      <c r="E88" s="3" t="n">
        <v>46255</v>
      </c>
      <c r="F88">
        <f>IF(E88="","",TEXT(E88,"dddd"))</f>
        <v/>
      </c>
      <c r="G88" t="inlineStr">
        <is>
          <t>4:10 PM</t>
        </is>
      </c>
      <c r="H88" t="inlineStr">
        <is>
          <t>N</t>
        </is>
      </c>
      <c r="I88" t="inlineStr"/>
      <c r="J88" t="inlineStr">
        <is>
          <t>MLB</t>
        </is>
      </c>
      <c r="K88" t="inlineStr">
        <is>
          <t>MLB</t>
        </is>
      </c>
      <c r="L88" t="inlineStr">
        <is>
          <t>total</t>
        </is>
      </c>
      <c r="M88" t="inlineStr">
        <is>
          <t>Braves vs Brewers F5 Under 3</t>
        </is>
      </c>
      <c r="N88" t="n">
        <v>1</v>
      </c>
      <c r="O88" t="inlineStr">
        <is>
          <t>-182</t>
        </is>
      </c>
      <c r="P88" s="4" t="n">
        <v>1.5495</v>
      </c>
      <c r="Q88" s="5" t="n">
        <v>75000</v>
      </c>
      <c r="R88" t="inlineStr"/>
      <c r="S88" s="5" t="n">
        <v>116250</v>
      </c>
      <c r="T88" t="inlineStr">
        <is>
          <t>Gamdom</t>
        </is>
      </c>
      <c r="U88" t="inlineStr">
        <is>
          <t>W</t>
        </is>
      </c>
      <c r="V88" s="5">
        <f>IF(NOT(ISNUMBER(Q88)),"",IF(U88="W",IF(ISNUMBER(S88),S88-Q88,IF(ISNUMBER(P88),Q88*(P88-1),"")),IF(U88="L",-Q88,IF(U88="Push",0,""))))</f>
        <v/>
      </c>
      <c r="W88">
        <f>IF(NOT(ISNUMBER(R88)),"",IF(U88="W",IF(ISNUMBER(P88),R88*(P88-1),""),IF(U88="L",-R88,IF(U88="Push",0,""))))</f>
        <v/>
      </c>
      <c r="X88" t="inlineStr">
        <is>
          <t>posted</t>
        </is>
      </c>
      <c r="Y88" t="inlineStr">
        <is>
          <t>Y - tags Gamdom</t>
        </is>
      </c>
      <c r="Z88" t="inlineStr">
        <is>
          <t>https://x.com/stevewilldoit/status/2090872777527992483</t>
        </is>
      </c>
      <c r="AA88" t="inlineStr">
        <is>
          <t>AI guy text "ATL-MIL F5 U3 -125"; slip 1.55; "💰" follow-up reply</t>
        </is>
      </c>
      <c r="AB88" t="inlineStr">
        <is>
          <t>Single</t>
        </is>
      </c>
      <c r="AC88" s="5">
        <f>IF(ISNUMBER(V88),Q88,"")</f>
        <v/>
      </c>
      <c r="AD88">
        <f>IF(ISNUMBER(W88),R88,"")</f>
        <v/>
      </c>
    </row>
    <row r="89">
      <c r="A89" t="inlineStr">
        <is>
          <t>T-408413</t>
        </is>
      </c>
      <c r="B89" t="inlineStr">
        <is>
          <t>Trent</t>
        </is>
      </c>
      <c r="C89" s="2" t="n">
        <v>46255.62872685185</v>
      </c>
      <c r="D89">
        <f>IF(C89="","",TEXT(C89,"dddd"))</f>
        <v/>
      </c>
      <c r="E89" s="3" t="n">
        <v>46255</v>
      </c>
      <c r="F89">
        <f>IF(E89="","",TEXT(E89,"dddd"))</f>
        <v/>
      </c>
      <c r="G89" t="inlineStr">
        <is>
          <t>10:10 PM</t>
        </is>
      </c>
      <c r="H89" t="inlineStr">
        <is>
          <t>N</t>
        </is>
      </c>
      <c r="I89" t="inlineStr"/>
      <c r="J89" t="inlineStr">
        <is>
          <t>MLB</t>
        </is>
      </c>
      <c r="K89" t="inlineStr">
        <is>
          <t>MLB</t>
        </is>
      </c>
      <c r="L89" t="inlineStr">
        <is>
          <t>parlay</t>
        </is>
      </c>
      <c r="M89" t="inlineStr">
        <is>
          <t>Astros ML; Guardians ML; Dodgers ML; White Sox ML; Mariners ML</t>
        </is>
      </c>
      <c r="N89" t="n">
        <v>5</v>
      </c>
      <c r="O89" t="inlineStr">
        <is>
          <t>+1100</t>
        </is>
      </c>
      <c r="P89" s="4" t="n">
        <v>12</v>
      </c>
      <c r="Q89" s="5" t="n">
        <v>1000</v>
      </c>
      <c r="R89" t="inlineStr"/>
      <c r="S89" s="5" t="n">
        <v>12000</v>
      </c>
      <c r="T89" t="inlineStr">
        <is>
          <t>Pikkit</t>
        </is>
      </c>
      <c r="U89" t="inlineStr">
        <is>
          <t>W</t>
        </is>
      </c>
      <c r="V89" s="5">
        <f>IF(NOT(ISNUMBER(Q89)),"",IF(U89="W",IF(ISNUMBER(S89),S89-Q89,IF(ISNUMBER(P89),Q89*(P89-1),"")),IF(U89="L",-Q89,IF(U89="Push",0,""))))</f>
        <v/>
      </c>
      <c r="W89">
        <f>IF(NOT(ISNUMBER(R89)),"",IF(U89="W",IF(ISNUMBER(P89),R89*(P89-1),""),IF(U89="L",-R89,IF(U89="Push",0,""))))</f>
        <v/>
      </c>
      <c r="X89" t="inlineStr">
        <is>
          <t>posted</t>
        </is>
      </c>
      <c r="Y89" t="inlineStr">
        <is>
          <t>N</t>
        </is>
      </c>
      <c r="Z89" t="inlineStr">
        <is>
          <t>https://x.com/BookitWithTrent/status/2090893042278408413</t>
        </is>
      </c>
      <c r="AA89" t="inlineStr">
        <is>
          <t>"Friday Night Fugazi Five"; result slip (308378) all legs checked</t>
        </is>
      </c>
      <c r="AB89" t="inlineStr">
        <is>
          <t>Parlay/multi-leg</t>
        </is>
      </c>
      <c r="AC89" s="5">
        <f>IF(ISNUMBER(V89),Q89,"")</f>
        <v/>
      </c>
      <c r="AD89">
        <f>IF(ISNUMBER(W89),R89,"")</f>
        <v/>
      </c>
    </row>
    <row r="90">
      <c r="A90" t="inlineStr">
        <is>
          <t>S-974013</t>
        </is>
      </c>
      <c r="B90" t="inlineStr">
        <is>
          <t>Steve</t>
        </is>
      </c>
      <c r="C90" s="2" t="n">
        <v>46255.71891203704</v>
      </c>
      <c r="D90">
        <f>IF(C90="","",TEXT(C90,"dddd"))</f>
        <v/>
      </c>
      <c r="E90" s="3" t="n">
        <v>46255</v>
      </c>
      <c r="F90">
        <f>IF(E90="","",TEXT(E90,"dddd"))</f>
        <v/>
      </c>
      <c r="G90" t="inlineStr">
        <is>
          <t>8:15 PM</t>
        </is>
      </c>
      <c r="H90" t="inlineStr">
        <is>
          <t>N</t>
        </is>
      </c>
      <c r="I90" t="inlineStr"/>
      <c r="J90" t="inlineStr">
        <is>
          <t>MLB</t>
        </is>
      </c>
      <c r="K90" t="inlineStr">
        <is>
          <t>MLB</t>
        </is>
      </c>
      <c r="L90" t="inlineStr">
        <is>
          <t>total</t>
        </is>
      </c>
      <c r="M90" t="inlineStr">
        <is>
          <t>Rangers vs Angels F5 Under 4</t>
        </is>
      </c>
      <c r="N90" t="n">
        <v>1</v>
      </c>
      <c r="O90" t="inlineStr">
        <is>
          <t>-141</t>
        </is>
      </c>
      <c r="P90" s="4" t="n">
        <v>1.7092</v>
      </c>
      <c r="Q90" s="5" t="n">
        <v>65000</v>
      </c>
      <c r="R90" t="inlineStr"/>
      <c r="S90" s="5" t="n">
        <v>111150</v>
      </c>
      <c r="T90" t="inlineStr">
        <is>
          <t>Gamdom</t>
        </is>
      </c>
      <c r="U90" t="inlineStr">
        <is>
          <t>W</t>
        </is>
      </c>
      <c r="V90" s="5">
        <f>IF(NOT(ISNUMBER(Q90)),"",IF(U90="W",IF(ISNUMBER(S90),S90-Q90,IF(ISNUMBER(P90),Q90*(P90-1),"")),IF(U90="L",-Q90,IF(U90="Push",0,""))))</f>
        <v/>
      </c>
      <c r="W90">
        <f>IF(NOT(ISNUMBER(R90)),"",IF(U90="W",IF(ISNUMBER(P90),R90*(P90-1),""),IF(U90="L",-R90,IF(U90="Push",0,""))))</f>
        <v/>
      </c>
      <c r="X90" t="inlineStr">
        <is>
          <t>graded from final</t>
        </is>
      </c>
      <c r="Y90" t="inlineStr">
        <is>
          <t>Y - tags Gamdom</t>
        </is>
      </c>
      <c r="Z90" t="inlineStr">
        <is>
          <t>https://x.com/stevewilldoit/status/2090925724894974013</t>
        </is>
      </c>
      <c r="AA90" t="inlineStr">
        <is>
          <t>"Confidence level is not high"</t>
        </is>
      </c>
      <c r="AB90" t="inlineStr">
        <is>
          <t>Single</t>
        </is>
      </c>
      <c r="AC90" s="5">
        <f>IF(ISNUMBER(V90),Q90,"")</f>
        <v/>
      </c>
      <c r="AD90">
        <f>IF(ISNUMBER(W90),R90,"")</f>
        <v/>
      </c>
    </row>
    <row r="91">
      <c r="A91" t="inlineStr">
        <is>
          <t>S-439939</t>
        </is>
      </c>
      <c r="B91" t="inlineStr">
        <is>
          <t>Steve</t>
        </is>
      </c>
      <c r="C91" s="2" t="n">
        <v>46255.77627314815</v>
      </c>
      <c r="D91">
        <f>IF(C91="","",TEXT(C91,"dddd"))</f>
        <v/>
      </c>
      <c r="E91" s="3" t="n">
        <v>46255</v>
      </c>
      <c r="F91">
        <f>IF(E91="","",TEXT(E91,"dddd"))</f>
        <v/>
      </c>
      <c r="G91" t="inlineStr">
        <is>
          <t>8:15 PM</t>
        </is>
      </c>
      <c r="H91" t="inlineStr">
        <is>
          <t>N</t>
        </is>
      </c>
      <c r="I91" t="inlineStr"/>
      <c r="J91" t="inlineStr">
        <is>
          <t>MLB</t>
        </is>
      </c>
      <c r="K91" t="inlineStr">
        <is>
          <t>MLB</t>
        </is>
      </c>
      <c r="L91" t="inlineStr">
        <is>
          <t>total</t>
        </is>
      </c>
      <c r="M91" t="inlineStr">
        <is>
          <t>Rangers vs Angels F5 Under 4 (added)</t>
        </is>
      </c>
      <c r="N91" t="n">
        <v>1</v>
      </c>
      <c r="O91" t="inlineStr">
        <is>
          <t>-143</t>
        </is>
      </c>
      <c r="P91" s="4" t="n">
        <v>1.6993</v>
      </c>
      <c r="Q91" s="5" t="n">
        <v>70000</v>
      </c>
      <c r="R91" t="inlineStr"/>
      <c r="S91" s="5" t="n">
        <v>119000</v>
      </c>
      <c r="T91" t="inlineStr">
        <is>
          <t>Gamdom</t>
        </is>
      </c>
      <c r="U91" t="inlineStr">
        <is>
          <t>W</t>
        </is>
      </c>
      <c r="V91" s="5">
        <f>IF(NOT(ISNUMBER(Q91)),"",IF(U91="W",IF(ISNUMBER(S91),S91-Q91,IF(ISNUMBER(P91),Q91*(P91-1),"")),IF(U91="L",-Q91,IF(U91="Push",0,""))))</f>
        <v/>
      </c>
      <c r="W91">
        <f>IF(NOT(ISNUMBER(R91)),"",IF(U91="W",IF(ISNUMBER(P91),R91*(P91-1),""),IF(U91="L",-R91,IF(U91="Push",0,""))))</f>
        <v/>
      </c>
      <c r="X91" t="inlineStr">
        <is>
          <t>graded from final</t>
        </is>
      </c>
      <c r="Y91" t="inlineStr">
        <is>
          <t>N</t>
        </is>
      </c>
      <c r="Z91" t="inlineStr">
        <is>
          <t>https://x.com/stevewilldoit/status/2090946509487439939</t>
        </is>
      </c>
      <c r="AA91" t="inlineStr">
        <is>
          <t>"Added more on under 4"</t>
        </is>
      </c>
      <c r="AB91" t="inlineStr">
        <is>
          <t>Single</t>
        </is>
      </c>
      <c r="AC91" s="5">
        <f>IF(ISNUMBER(V91),Q91,"")</f>
        <v/>
      </c>
      <c r="AD91">
        <f>IF(ISNUMBER(W91),R91,"")</f>
        <v/>
      </c>
    </row>
    <row r="92">
      <c r="A92" t="inlineStr">
        <is>
          <t>S-439939b</t>
        </is>
      </c>
      <c r="B92" t="inlineStr">
        <is>
          <t>Steve</t>
        </is>
      </c>
      <c r="C92" s="2" t="n">
        <v>46255.77627314815</v>
      </c>
      <c r="D92">
        <f>IF(C92="","",TEXT(C92,"dddd"))</f>
        <v/>
      </c>
      <c r="E92" s="3" t="n">
        <v>46255</v>
      </c>
      <c r="F92">
        <f>IF(E92="","",TEXT(E92,"dddd"))</f>
        <v/>
      </c>
      <c r="G92" t="inlineStr">
        <is>
          <t>8:10 PM</t>
        </is>
      </c>
      <c r="H92" t="inlineStr">
        <is>
          <t>N</t>
        </is>
      </c>
      <c r="I92" t="inlineStr"/>
      <c r="J92" t="inlineStr">
        <is>
          <t>MLB</t>
        </is>
      </c>
      <c r="K92" t="inlineStr">
        <is>
          <t>MLB</t>
        </is>
      </c>
      <c r="L92" t="inlineStr">
        <is>
          <t>parlay</t>
        </is>
      </c>
      <c r="M92" t="inlineStr">
        <is>
          <t>Orioles ML; White Sox ML; Mets ML; Royals ML (per text)</t>
        </is>
      </c>
      <c r="N92" t="n">
        <v>4</v>
      </c>
      <c r="O92" t="inlineStr">
        <is>
          <t>+1830</t>
        </is>
      </c>
      <c r="P92" s="4" t="n">
        <v>19.3</v>
      </c>
      <c r="Q92" s="5" t="n">
        <v>20000</v>
      </c>
      <c r="R92" t="inlineStr"/>
      <c r="S92" s="5" t="n">
        <v>386000</v>
      </c>
      <c r="T92" t="inlineStr">
        <is>
          <t>Gamdom</t>
        </is>
      </c>
      <c r="U92" t="inlineStr">
        <is>
          <t>L</t>
        </is>
      </c>
      <c r="V92" s="5">
        <f>IF(NOT(ISNUMBER(Q92)),"",IF(U92="W",IF(ISNUMBER(S92),S92-Q92,IF(ISNUMBER(P92),Q92*(P92-1),"")),IF(U92="L",-Q92,IF(U92="Push",0,""))))</f>
        <v/>
      </c>
      <c r="W92">
        <f>IF(NOT(ISNUMBER(R92)),"",IF(U92="W",IF(ISNUMBER(P92),R92*(P92-1),""),IF(U92="L",-R92,IF(U92="Push",0,""))))</f>
        <v/>
      </c>
      <c r="X92" t="inlineStr">
        <is>
          <t>graded from final</t>
        </is>
      </c>
      <c r="Y92" t="inlineStr">
        <is>
          <t>N</t>
        </is>
      </c>
      <c r="Z92" t="inlineStr">
        <is>
          <t>https://x.com/stevewilldoit/status/2090946509487439939</t>
        </is>
      </c>
      <c r="AA92" t="inlineStr">
        <is>
          <t>"Have 20k to win 380k"; slip 19.30; only Orioles leg visible</t>
        </is>
      </c>
      <c r="AB92" t="inlineStr">
        <is>
          <t>Parlay/multi-leg</t>
        </is>
      </c>
      <c r="AC92" s="5">
        <f>IF(ISNUMBER(V92),Q92,"")</f>
        <v/>
      </c>
      <c r="AD92">
        <f>IF(ISNUMBER(W92),R92,"")</f>
        <v/>
      </c>
    </row>
    <row r="93">
      <c r="A93" t="inlineStr">
        <is>
          <t>S-521914</t>
        </is>
      </c>
      <c r="B93" t="inlineStr">
        <is>
          <t>Steve</t>
        </is>
      </c>
      <c r="C93" s="2" t="n">
        <v>46256.41403935185</v>
      </c>
      <c r="D93">
        <f>IF(C93="","",TEXT(C93,"dddd"))</f>
        <v/>
      </c>
      <c r="E93" s="3" t="n">
        <v>46256</v>
      </c>
      <c r="F93">
        <f>IF(E93="","",TEXT(E93,"dddd"))</f>
        <v/>
      </c>
      <c r="G93" t="inlineStr">
        <is>
          <t>not matched</t>
        </is>
      </c>
      <c r="H93" t="inlineStr">
        <is>
          <t>N</t>
        </is>
      </c>
      <c r="I93" t="inlineStr"/>
      <c r="J93" t="inlineStr">
        <is>
          <t>Soccer</t>
        </is>
      </c>
      <c r="K93" t="inlineStr">
        <is>
          <t>La Liga</t>
        </is>
      </c>
      <c r="L93" t="inlineStr">
        <is>
          <t>total</t>
        </is>
      </c>
      <c r="M93" t="inlineStr">
        <is>
          <t>Athletic Bilbao vs Sevilla Over 2</t>
        </is>
      </c>
      <c r="N93" t="n">
        <v>1</v>
      </c>
      <c r="O93" t="inlineStr">
        <is>
          <t>-154</t>
        </is>
      </c>
      <c r="P93" s="4" t="n">
        <v>1.6494</v>
      </c>
      <c r="Q93" s="5" t="n">
        <v>100000</v>
      </c>
      <c r="R93" t="inlineStr"/>
      <c r="S93" s="5" t="n">
        <v>165000</v>
      </c>
      <c r="T93" t="inlineStr">
        <is>
          <t>Gamdom</t>
        </is>
      </c>
      <c r="U93" t="inlineStr">
        <is>
          <t>W</t>
        </is>
      </c>
      <c r="V93" s="5">
        <f>IF(NOT(ISNUMBER(Q93)),"",IF(U93="W",IF(ISNUMBER(S93),S93-Q93,IF(ISNUMBER(P93),Q93*(P93-1),"")),IF(U93="L",-Q93,IF(U93="Push",0,""))))</f>
        <v/>
      </c>
      <c r="W93">
        <f>IF(NOT(ISNUMBER(R93)),"",IF(U93="W",IF(ISNUMBER(P93),R93*(P93-1),""),IF(U93="L",-R93,IF(U93="Push",0,""))))</f>
        <v/>
      </c>
      <c r="X93" t="inlineStr">
        <is>
          <t>graded from final</t>
        </is>
      </c>
      <c r="Y93" t="inlineStr">
        <is>
          <t>Y - tags Gamdom</t>
        </is>
      </c>
      <c r="Z93" t="inlineStr">
        <is>
          <t>https://x.com/stevewilldoit/status/2091177630611521914</t>
        </is>
      </c>
      <c r="AA93" t="inlineStr">
        <is>
          <t>"Lock from boss man" (Felix/Romer); chat says over 2.5, slip says Over 2; Final: Sevilla 3-1 at Athletic (4 goals, over 2)</t>
        </is>
      </c>
      <c r="AB93" t="inlineStr">
        <is>
          <t>Single</t>
        </is>
      </c>
      <c r="AC93" s="5">
        <f>IF(ISNUMBER(V93),Q93,"")</f>
        <v/>
      </c>
      <c r="AD93">
        <f>IF(ISNUMBER(W93),R93,"")</f>
        <v/>
      </c>
    </row>
    <row r="94">
      <c r="A94" t="inlineStr">
        <is>
          <t>S-521914b</t>
        </is>
      </c>
      <c r="B94" t="inlineStr">
        <is>
          <t>Steve</t>
        </is>
      </c>
      <c r="C94" s="2" t="n">
        <v>46256.41403935185</v>
      </c>
      <c r="D94">
        <f>IF(C94="","",TEXT(C94,"dddd"))</f>
        <v/>
      </c>
      <c r="E94" s="3" t="n">
        <v>46256</v>
      </c>
      <c r="F94">
        <f>IF(E94="","",TEXT(E94,"dddd"))</f>
        <v/>
      </c>
      <c r="G94" t="inlineStr">
        <is>
          <t>not matched</t>
        </is>
      </c>
      <c r="H94" t="inlineStr">
        <is>
          <t>N</t>
        </is>
      </c>
      <c r="I94" t="inlineStr"/>
      <c r="J94" t="inlineStr">
        <is>
          <t>Soccer</t>
        </is>
      </c>
      <c r="K94" t="inlineStr">
        <is>
          <t>La Liga</t>
        </is>
      </c>
      <c r="L94" t="inlineStr">
        <is>
          <t>other</t>
        </is>
      </c>
      <c r="M94" t="inlineStr">
        <is>
          <t>Second slip (selection cut off)</t>
        </is>
      </c>
      <c r="N94" t="n">
        <v>1</v>
      </c>
      <c r="O94" t="inlineStr">
        <is>
          <t>-154</t>
        </is>
      </c>
      <c r="P94" s="4" t="n">
        <v>1.6494</v>
      </c>
      <c r="Q94" s="5" t="n">
        <v>50000</v>
      </c>
      <c r="R94" t="inlineStr"/>
      <c r="S94" s="5" t="n">
        <v>82500</v>
      </c>
      <c r="T94" t="inlineStr">
        <is>
          <t>Gamdom</t>
        </is>
      </c>
      <c r="U94" t="inlineStr">
        <is>
          <t>Unknown</t>
        </is>
      </c>
      <c r="V94" s="5">
        <f>IF(NOT(ISNUMBER(Q94)),"",IF(U94="W",IF(ISNUMBER(S94),S94-Q94,IF(ISNUMBER(P94),Q94*(P94-1),"")),IF(U94="L",-Q94,IF(U94="Push",0,""))))</f>
        <v/>
      </c>
      <c r="W94">
        <f>IF(NOT(ISNUMBER(R94)),"",IF(U94="W",IF(ISNUMBER(P94),R94*(P94-1),""),IF(U94="L",-R94,IF(U94="Push",0,""))))</f>
        <v/>
      </c>
      <c r="X94" t="inlineStr">
        <is>
          <t>unverified</t>
        </is>
      </c>
      <c r="Y94" t="inlineStr">
        <is>
          <t>Y - tags Gamdom</t>
        </is>
      </c>
      <c r="Z94" t="inlineStr">
        <is>
          <t>https://x.com/stevewilldoit/status/2091177630611521914</t>
        </is>
      </c>
      <c r="AA94" t="inlineStr">
        <is>
          <t>selection not shown; Game date assumed = post date (CT)</t>
        </is>
      </c>
      <c r="AB94" t="inlineStr">
        <is>
          <t>Single</t>
        </is>
      </c>
      <c r="AC94" s="5">
        <f>IF(ISNUMBER(V94),Q94,"")</f>
        <v/>
      </c>
      <c r="AD94">
        <f>IF(ISNUMBER(W94),R94,"")</f>
        <v/>
      </c>
    </row>
    <row r="95">
      <c r="A95" t="inlineStr">
        <is>
          <t>S-011750</t>
        </is>
      </c>
      <c r="B95" t="inlineStr">
        <is>
          <t>Steve</t>
        </is>
      </c>
      <c r="C95" s="2" t="n">
        <v>46256.48710648148</v>
      </c>
      <c r="D95">
        <f>IF(C95="","",TEXT(C95,"dddd"))</f>
        <v/>
      </c>
      <c r="E95" s="3" t="n">
        <v>46256</v>
      </c>
      <c r="F95">
        <f>IF(E95="","",TEXT(E95,"dddd"))</f>
        <v/>
      </c>
      <c r="G95" t="inlineStr">
        <is>
          <t>2:10 PM</t>
        </is>
      </c>
      <c r="H95" t="inlineStr">
        <is>
          <t>N</t>
        </is>
      </c>
      <c r="I95" t="inlineStr"/>
      <c r="J95" t="inlineStr">
        <is>
          <t>MLB</t>
        </is>
      </c>
      <c r="K95" t="inlineStr">
        <is>
          <t>MLB</t>
        </is>
      </c>
      <c r="L95" t="inlineStr">
        <is>
          <t>total</t>
        </is>
      </c>
      <c r="M95" t="inlineStr">
        <is>
          <t>Brewers vs Braves F5 Under 4</t>
        </is>
      </c>
      <c r="N95" t="n">
        <v>1</v>
      </c>
      <c r="O95" t="inlineStr">
        <is>
          <t>-112</t>
        </is>
      </c>
      <c r="P95" s="4" t="n">
        <v>1.8929</v>
      </c>
      <c r="Q95" s="5" t="n">
        <v>100000</v>
      </c>
      <c r="R95" t="inlineStr"/>
      <c r="S95" s="5" t="n">
        <v>189000</v>
      </c>
      <c r="T95" t="inlineStr">
        <is>
          <t>Gamdom</t>
        </is>
      </c>
      <c r="U95" t="inlineStr">
        <is>
          <t>L</t>
        </is>
      </c>
      <c r="V95" s="5">
        <f>IF(NOT(ISNUMBER(Q95)),"",IF(U95="W",IF(ISNUMBER(S95),S95-Q95,IF(ISNUMBER(P95),Q95*(P95-1),"")),IF(U95="L",-Q95,IF(U95="Push",0,""))))</f>
        <v/>
      </c>
      <c r="W95">
        <f>IF(NOT(ISNUMBER(R95)),"",IF(U95="W",IF(ISNUMBER(P95),R95*(P95-1),""),IF(U95="L",-R95,IF(U95="Push",0,""))))</f>
        <v/>
      </c>
      <c r="X95" t="inlineStr">
        <is>
          <t>graded from final</t>
        </is>
      </c>
      <c r="Y95" t="inlineStr">
        <is>
          <t>Y - tags Gamdom</t>
        </is>
      </c>
      <c r="Z95" t="inlineStr">
        <is>
          <t>https://x.com/stevewilldoit/status/2091204105893011750</t>
        </is>
      </c>
      <c r="AA95" t="inlineStr">
        <is>
          <t>AI guy text "ATL-MIL F5 Under 4 -105"; later "Hoping for a push on the first bet"</t>
        </is>
      </c>
      <c r="AB95" t="inlineStr">
        <is>
          <t>Single</t>
        </is>
      </c>
      <c r="AC95" s="5">
        <f>IF(ISNUMBER(V95),Q95,"")</f>
        <v/>
      </c>
      <c r="AD95">
        <f>IF(ISNUMBER(W95),R95,"")</f>
        <v/>
      </c>
    </row>
    <row r="96">
      <c r="A96" t="inlineStr">
        <is>
          <t>S-011750b</t>
        </is>
      </c>
      <c r="B96" t="inlineStr">
        <is>
          <t>Steve</t>
        </is>
      </c>
      <c r="C96" s="2" t="n">
        <v>46256.48710648148</v>
      </c>
      <c r="D96">
        <f>IF(C96="","",TEXT(C96,"dddd"))</f>
        <v/>
      </c>
      <c r="E96" s="3" t="n">
        <v>46256</v>
      </c>
      <c r="F96">
        <f>IF(E96="","",TEXT(E96,"dddd"))</f>
        <v/>
      </c>
      <c r="G96" t="inlineStr">
        <is>
          <t>8:10 PM</t>
        </is>
      </c>
      <c r="H96" t="inlineStr">
        <is>
          <t>N</t>
        </is>
      </c>
      <c r="I96" t="inlineStr"/>
      <c r="J96" t="inlineStr">
        <is>
          <t>MLB</t>
        </is>
      </c>
      <c r="K96" t="inlineStr">
        <is>
          <t>MLB</t>
        </is>
      </c>
      <c r="L96" t="inlineStr">
        <is>
          <t>spread</t>
        </is>
      </c>
      <c r="M96" t="inlineStr">
        <is>
          <t>Arizona Diamondbacks F5 -0.5 vs Cincinnati Reds</t>
        </is>
      </c>
      <c r="N96" t="n">
        <v>1</v>
      </c>
      <c r="O96" t="inlineStr">
        <is>
          <t>-135</t>
        </is>
      </c>
      <c r="P96" s="4" t="n">
        <v>1.7407</v>
      </c>
      <c r="Q96" s="5" t="n">
        <v>100000</v>
      </c>
      <c r="R96" t="inlineStr"/>
      <c r="S96" s="5" t="n">
        <v>174000</v>
      </c>
      <c r="T96" t="inlineStr">
        <is>
          <t>Gamdom</t>
        </is>
      </c>
      <c r="U96" t="inlineStr">
        <is>
          <t>L</t>
        </is>
      </c>
      <c r="V96" s="5">
        <f>IF(NOT(ISNUMBER(Q96)),"",IF(U96="W",IF(ISNUMBER(S96),S96-Q96,IF(ISNUMBER(P96),Q96*(P96-1),"")),IF(U96="L",-Q96,IF(U96="Push",0,""))))</f>
        <v/>
      </c>
      <c r="W96">
        <f>IF(NOT(ISNUMBER(R96)),"",IF(U96="W",IF(ISNUMBER(P96),R96*(P96-1),""),IF(U96="L",-R96,IF(U96="Push",0,""))))</f>
        <v/>
      </c>
      <c r="X96" t="inlineStr">
        <is>
          <t>graded from final</t>
        </is>
      </c>
      <c r="Y96" t="inlineStr">
        <is>
          <t>Y - tags Gamdom</t>
        </is>
      </c>
      <c r="Z96" t="inlineStr">
        <is>
          <t>https://x.com/stevewilldoit/status/2091204105893011750</t>
        </is>
      </c>
      <c r="AA96" t="inlineStr">
        <is>
          <t>AI guy text "Arizona F5 -1/2 -115"</t>
        </is>
      </c>
      <c r="AB96" t="inlineStr">
        <is>
          <t>Single</t>
        </is>
      </c>
      <c r="AC96" s="5">
        <f>IF(ISNUMBER(V96),Q96,"")</f>
        <v/>
      </c>
      <c r="AD96">
        <f>IF(ISNUMBER(W96),R96,"")</f>
        <v/>
      </c>
    </row>
    <row r="97">
      <c r="A97" t="inlineStr">
        <is>
          <t>T-067106</t>
        </is>
      </c>
      <c r="B97" t="inlineStr">
        <is>
          <t>Trent</t>
        </is>
      </c>
      <c r="C97" s="2" t="n">
        <v>46256.64509259259</v>
      </c>
      <c r="D97">
        <f>IF(C97="","",TEXT(C97,"dddd"))</f>
        <v/>
      </c>
      <c r="E97" s="3" t="n">
        <v>46256</v>
      </c>
      <c r="F97">
        <f>IF(E97="","",TEXT(E97,"dddd"))</f>
        <v/>
      </c>
      <c r="G97" t="inlineStr">
        <is>
          <t>8:10 PM</t>
        </is>
      </c>
      <c r="H97" t="inlineStr">
        <is>
          <t>N</t>
        </is>
      </c>
      <c r="I97" t="inlineStr"/>
      <c r="J97" t="inlineStr">
        <is>
          <t>MLB</t>
        </is>
      </c>
      <c r="K97" t="inlineStr">
        <is>
          <t>MLB</t>
        </is>
      </c>
      <c r="L97" t="inlineStr">
        <is>
          <t>parlay</t>
        </is>
      </c>
      <c r="M97" t="inlineStr">
        <is>
          <t>Astros ML; Guardians ML; Dodgers ML; White Sox ML; Mariners ML</t>
        </is>
      </c>
      <c r="N97" t="n">
        <v>5</v>
      </c>
      <c r="O97" t="inlineStr">
        <is>
          <t>+1100</t>
        </is>
      </c>
      <c r="P97" s="4" t="n">
        <v>12</v>
      </c>
      <c r="Q97" s="5" t="n">
        <v>1000</v>
      </c>
      <c r="R97" t="inlineStr"/>
      <c r="S97" s="5" t="n">
        <v>12000</v>
      </c>
      <c r="T97" t="inlineStr">
        <is>
          <t>Pikkit</t>
        </is>
      </c>
      <c r="U97" t="inlineStr">
        <is>
          <t>L</t>
        </is>
      </c>
      <c r="V97" s="5">
        <f>IF(NOT(ISNUMBER(Q97)),"",IF(U97="W",IF(ISNUMBER(S97),S97-Q97,IF(ISNUMBER(P97),Q97*(P97-1),"")),IF(U97="L",-Q97,IF(U97="Push",0,""))))</f>
        <v/>
      </c>
      <c r="W97">
        <f>IF(NOT(ISNUMBER(R97)),"",IF(U97="W",IF(ISNUMBER(P97),R97*(P97-1),""),IF(U97="L",-R97,IF(U97="Push",0,""))))</f>
        <v/>
      </c>
      <c r="X97" t="inlineStr">
        <is>
          <t>graded from final</t>
        </is>
      </c>
      <c r="Y97" t="inlineStr">
        <is>
          <t>N</t>
        </is>
      </c>
      <c r="Z97" t="inlineStr">
        <is>
          <t>https://x.com/BookitWithTrent/status/2091261360894067106</t>
        </is>
      </c>
      <c r="AA97" t="inlineStr">
        <is>
          <t>"Saturday Night Fugazi 5" (same lay as previous night)</t>
        </is>
      </c>
      <c r="AB97" t="inlineStr">
        <is>
          <t>Parlay/multi-leg</t>
        </is>
      </c>
      <c r="AC97" s="5">
        <f>IF(ISNUMBER(V97),Q97,"")</f>
        <v/>
      </c>
      <c r="AD97">
        <f>IF(ISNUMBER(W97),R97,"")</f>
        <v/>
      </c>
    </row>
    <row r="98">
      <c r="A98" t="inlineStr">
        <is>
          <t>T-417202</t>
        </is>
      </c>
      <c r="B98" t="inlineStr">
        <is>
          <t>Trent</t>
        </is>
      </c>
      <c r="C98" s="2" t="n">
        <v>46256.64961805556</v>
      </c>
      <c r="D98">
        <f>IF(C98="","",TEXT(C98,"dddd"))</f>
        <v/>
      </c>
      <c r="E98" s="3" t="n">
        <v>46256</v>
      </c>
      <c r="F98">
        <f>IF(E98="","",TEXT(E98,"dddd"))</f>
        <v/>
      </c>
      <c r="G98" t="inlineStr">
        <is>
          <t>not matched</t>
        </is>
      </c>
      <c r="H98" t="inlineStr">
        <is>
          <t>N</t>
        </is>
      </c>
      <c r="I98" t="inlineStr"/>
      <c r="J98" t="inlineStr">
        <is>
          <t>MLB</t>
        </is>
      </c>
      <c r="K98" t="inlineStr">
        <is>
          <t>MLB</t>
        </is>
      </c>
      <c r="L98" t="inlineStr">
        <is>
          <t>PrizePicks/DFS</t>
        </is>
      </c>
      <c r="M98" t="inlineStr">
        <is>
          <t>HR o0.5: Mike Trout; Munetaka Murakami; Yordan Alvarez; Shohei Ohtani</t>
        </is>
      </c>
      <c r="N98" t="n">
        <v>4</v>
      </c>
      <c r="O98" t="inlineStr">
        <is>
          <t>not shown</t>
        </is>
      </c>
      <c r="P98" s="4" t="inlineStr"/>
      <c r="Q98" s="5" t="inlineStr"/>
      <c r="R98" t="inlineStr"/>
      <c r="S98" s="5" t="inlineStr"/>
      <c r="T98" t="inlineStr">
        <is>
          <t>PrizePicks</t>
        </is>
      </c>
      <c r="U98" t="inlineStr">
        <is>
          <t>L</t>
        </is>
      </c>
      <c r="V98" s="5">
        <f>IF(NOT(ISNUMBER(Q98)),"",IF(U98="W",IF(ISNUMBER(S98),S98-Q98,IF(ISNUMBER(P98),Q98*(P98-1),"")),IF(U98="L",-Q98,IF(U98="Push",0,""))))</f>
        <v/>
      </c>
      <c r="W98">
        <f>IF(NOT(ISNUMBER(R98)),"",IF(U98="W",IF(ISNUMBER(P98),R98*(P98-1),""),IF(U98="L",-R98,IF(U98="Push",0,""))))</f>
        <v/>
      </c>
      <c r="X98" t="inlineStr">
        <is>
          <t>graded from final</t>
        </is>
      </c>
      <c r="Y98" t="inlineStr">
        <is>
          <t>N</t>
        </is>
      </c>
      <c r="Z98" t="inlineStr">
        <is>
          <t>https://x.com/BookitWithTrent/status/2091262999625417202</t>
        </is>
      </c>
      <c r="AA98" t="inlineStr">
        <is>
          <t>stake not shown; Final: Murakami/Alvarez/Ohtani no HR</t>
        </is>
      </c>
      <c r="AB98" t="inlineStr">
        <is>
          <t>Parlay/multi-leg</t>
        </is>
      </c>
      <c r="AC98" s="5">
        <f>IF(ISNUMBER(V98),Q98,"")</f>
        <v/>
      </c>
      <c r="AD98">
        <f>IF(ISNUMBER(W98),R98,"")</f>
        <v/>
      </c>
    </row>
    <row r="99">
      <c r="A99" t="inlineStr">
        <is>
          <t>T-227453</t>
        </is>
      </c>
      <c r="B99" t="inlineStr">
        <is>
          <t>Trent</t>
        </is>
      </c>
      <c r="C99" s="2" t="n">
        <v>46256.67978009259</v>
      </c>
      <c r="D99">
        <f>IF(C99="","",TEXT(C99,"dddd"))</f>
        <v/>
      </c>
      <c r="E99" s="3" t="n">
        <v>46256</v>
      </c>
      <c r="F99">
        <f>IF(E99="","",TEXT(E99,"dddd"))</f>
        <v/>
      </c>
      <c r="G99" t="inlineStr">
        <is>
          <t>not matched</t>
        </is>
      </c>
      <c r="H99" t="inlineStr">
        <is>
          <t>N</t>
        </is>
      </c>
      <c r="I99" t="inlineStr"/>
      <c r="J99" t="inlineStr">
        <is>
          <t>MLB</t>
        </is>
      </c>
      <c r="K99" t="inlineStr">
        <is>
          <t>MLB</t>
        </is>
      </c>
      <c r="L99" t="inlineStr">
        <is>
          <t>prop</t>
        </is>
      </c>
      <c r="M99" t="inlineStr">
        <is>
          <t>Tarik Skubal o8.5 K</t>
        </is>
      </c>
      <c r="N99" t="n">
        <v>1</v>
      </c>
      <c r="O99" t="inlineStr">
        <is>
          <t>not shown</t>
        </is>
      </c>
      <c r="P99" s="4" t="inlineStr"/>
      <c r="Q99" s="5" t="inlineStr"/>
      <c r="R99" t="inlineStr"/>
      <c r="S99" s="5" t="inlineStr"/>
      <c r="T99" t="inlineStr">
        <is>
          <t>Bookit app (Beat the Streak)</t>
        </is>
      </c>
      <c r="U99" t="inlineStr">
        <is>
          <t>W</t>
        </is>
      </c>
      <c r="V99" s="5">
        <f>IF(NOT(ISNUMBER(Q99)),"",IF(U99="W",IF(ISNUMBER(S99),S99-Q99,IF(ISNUMBER(P99),Q99*(P99-1),"")),IF(U99="L",-Q99,IF(U99="Push",0,""))))</f>
        <v/>
      </c>
      <c r="W99">
        <f>IF(NOT(ISNUMBER(R99)),"",IF(U99="W",IF(ISNUMBER(P99),R99*(P99-1),""),IF(U99="L",-R99,IF(U99="Push",0,""))))</f>
        <v/>
      </c>
      <c r="X99" t="inlineStr">
        <is>
          <t>graded from final</t>
        </is>
      </c>
      <c r="Y99" t="inlineStr">
        <is>
          <t>N</t>
        </is>
      </c>
      <c r="Z99" t="inlineStr">
        <is>
          <t>https://x.com/BookitWithTrent/status/2091273929348227453</t>
        </is>
      </c>
      <c r="AA99" t="inlineStr">
        <is>
          <t>"Life on line"; free-to-play streak pick, stake not shown; Final: Skubal 11 K</t>
        </is>
      </c>
      <c r="AB99" t="inlineStr">
        <is>
          <t>Single</t>
        </is>
      </c>
      <c r="AC99" s="5">
        <f>IF(ISNUMBER(V99),Q99,"")</f>
        <v/>
      </c>
      <c r="AD99">
        <f>IF(ISNUMBER(W99),R99,"")</f>
        <v/>
      </c>
    </row>
    <row r="100">
      <c r="A100" t="inlineStr">
        <is>
          <t>T-557787</t>
        </is>
      </c>
      <c r="B100" t="inlineStr">
        <is>
          <t>Trent</t>
        </is>
      </c>
      <c r="C100" s="2" t="n">
        <v>46257.530625</v>
      </c>
      <c r="D100">
        <f>IF(C100="","",TEXT(C100,"dddd"))</f>
        <v/>
      </c>
      <c r="E100" s="3" t="n">
        <v>46257</v>
      </c>
      <c r="F100">
        <f>IF(E100="","",TEXT(E100,"dddd"))</f>
        <v/>
      </c>
      <c r="G100" t="inlineStr">
        <is>
          <t>not matched</t>
        </is>
      </c>
      <c r="H100" t="inlineStr">
        <is>
          <t>N</t>
        </is>
      </c>
      <c r="I100" t="inlineStr"/>
      <c r="J100" t="inlineStr">
        <is>
          <t>MLB</t>
        </is>
      </c>
      <c r="K100" t="inlineStr">
        <is>
          <t>MLB</t>
        </is>
      </c>
      <c r="L100" t="inlineStr">
        <is>
          <t>prop</t>
        </is>
      </c>
      <c r="M100" t="inlineStr">
        <is>
          <t>Blake Snell o8.5 K</t>
        </is>
      </c>
      <c r="N100" t="n">
        <v>1</v>
      </c>
      <c r="O100" t="inlineStr">
        <is>
          <t>not shown</t>
        </is>
      </c>
      <c r="P100" s="4" t="inlineStr"/>
      <c r="Q100" s="5" t="inlineStr"/>
      <c r="R100" t="inlineStr"/>
      <c r="S100" s="5" t="inlineStr"/>
      <c r="T100" t="inlineStr">
        <is>
          <t>Bookit app (Beat the Streak)</t>
        </is>
      </c>
      <c r="U100" t="inlineStr">
        <is>
          <t>W</t>
        </is>
      </c>
      <c r="V100" s="5">
        <f>IF(NOT(ISNUMBER(Q100)),"",IF(U100="W",IF(ISNUMBER(S100),S100-Q100,IF(ISNUMBER(P100),Q100*(P100-1),"")),IF(U100="L",-Q100,IF(U100="Push",0,""))))</f>
        <v/>
      </c>
      <c r="W100">
        <f>IF(NOT(ISNUMBER(R100)),"",IF(U100="W",IF(ISNUMBER(P100),R100*(P100-1),""),IF(U100="L",-R100,IF(U100="Push",0,""))))</f>
        <v/>
      </c>
      <c r="X100" t="inlineStr">
        <is>
          <t>posted</t>
        </is>
      </c>
      <c r="Y100" t="inlineStr">
        <is>
          <t>N</t>
        </is>
      </c>
      <c r="Z100" t="inlineStr">
        <is>
          <t>https://x.com/BookitWithTrent/status/2091582265528557787</t>
        </is>
      </c>
      <c r="AA100" t="inlineStr">
        <is>
          <t>"holy fuckin chalk"; free-to-play streak pick, stake not shown; Game date assumed = post date (CT)</t>
        </is>
      </c>
      <c r="AB100" t="inlineStr">
        <is>
          <t>Single</t>
        </is>
      </c>
      <c r="AC100" s="5">
        <f>IF(ISNUMBER(V100),Q100,"")</f>
        <v/>
      </c>
      <c r="AD100">
        <f>IF(ISNUMBER(W100),R100,"")</f>
        <v/>
      </c>
    </row>
    <row r="101">
      <c r="A101" t="inlineStr">
        <is>
          <t>T-845258</t>
        </is>
      </c>
      <c r="B101" t="inlineStr">
        <is>
          <t>Trent</t>
        </is>
      </c>
      <c r="C101" s="2" t="n">
        <v>46257.73699074074</v>
      </c>
      <c r="D101">
        <f>IF(C101="","",TEXT(C101,"dddd"))</f>
        <v/>
      </c>
      <c r="E101" s="3" t="n">
        <v>46257</v>
      </c>
      <c r="F101">
        <f>IF(E101="","",TEXT(E101,"dddd"))</f>
        <v/>
      </c>
      <c r="G101" t="inlineStr">
        <is>
          <t>7:10 PM</t>
        </is>
      </c>
      <c r="H101" t="inlineStr">
        <is>
          <t>N</t>
        </is>
      </c>
      <c r="I101" t="inlineStr"/>
      <c r="J101" t="inlineStr">
        <is>
          <t>MLB</t>
        </is>
      </c>
      <c r="K101" t="inlineStr">
        <is>
          <t>MLB</t>
        </is>
      </c>
      <c r="L101" t="inlineStr">
        <is>
          <t>ML</t>
        </is>
      </c>
      <c r="M101" t="inlineStr">
        <is>
          <t>Braves ML (Little League Classic)</t>
        </is>
      </c>
      <c r="N101" t="n">
        <v>1</v>
      </c>
      <c r="O101" t="inlineStr">
        <is>
          <t>+100</t>
        </is>
      </c>
      <c r="P101" s="4" t="n">
        <v>2</v>
      </c>
      <c r="Q101" s="5" t="inlineStr"/>
      <c r="R101" t="n">
        <v>10</v>
      </c>
      <c r="S101" s="5" t="inlineStr"/>
      <c r="T101" t="inlineStr">
        <is>
          <t>not shown</t>
        </is>
      </c>
      <c r="U101" t="inlineStr">
        <is>
          <t>W</t>
        </is>
      </c>
      <c r="V101" s="5">
        <f>IF(NOT(ISNUMBER(Q101)),"",IF(U101="W",IF(ISNUMBER(S101),S101-Q101,IF(ISNUMBER(P101),Q101*(P101-1),"")),IF(U101="L",-Q101,IF(U101="Push",0,""))))</f>
        <v/>
      </c>
      <c r="W101">
        <f>IF(NOT(ISNUMBER(R101)),"",IF(U101="W",IF(ISNUMBER(P101),R101*(P101-1),""),IF(U101="L",-R101,IF(U101="Push",0,""))))</f>
        <v/>
      </c>
      <c r="X101" t="inlineStr">
        <is>
          <t>graded from final</t>
        </is>
      </c>
      <c r="Y101" t="inlineStr">
        <is>
          <t>N</t>
        </is>
      </c>
      <c r="Z101" t="inlineStr">
        <is>
          <t>https://x.com/BookitWithTrent/status/2091657049989845258</t>
        </is>
      </c>
      <c r="AA101" t="inlineStr">
        <is>
          <t>"Little League Classic Mortal Mega" 10U</t>
        </is>
      </c>
      <c r="AB101" t="inlineStr">
        <is>
          <t>Single</t>
        </is>
      </c>
      <c r="AC101" s="5">
        <f>IF(ISNUMBER(V101),Q101,"")</f>
        <v/>
      </c>
      <c r="AD101">
        <f>IF(ISNUMBER(W101),R101,"")</f>
        <v/>
      </c>
    </row>
    <row r="102">
      <c r="A102" t="inlineStr">
        <is>
          <t>S-156622</t>
        </is>
      </c>
      <c r="B102" t="inlineStr">
        <is>
          <t>Steve</t>
        </is>
      </c>
      <c r="C102" s="2" t="n">
        <v>46258.45689814815</v>
      </c>
      <c r="D102">
        <f>IF(C102="","",TEXT(C102,"dddd"))</f>
        <v/>
      </c>
      <c r="E102" s="3" t="n">
        <v>46258</v>
      </c>
      <c r="F102">
        <f>IF(E102="","",TEXT(E102,"dddd"))</f>
        <v/>
      </c>
      <c r="G102" t="inlineStr">
        <is>
          <t>9:40 PM</t>
        </is>
      </c>
      <c r="H102" t="inlineStr">
        <is>
          <t>N</t>
        </is>
      </c>
      <c r="I102" t="inlineStr"/>
      <c r="J102" t="inlineStr">
        <is>
          <t>MLB</t>
        </is>
      </c>
      <c r="K102" t="inlineStr">
        <is>
          <t>MLB</t>
        </is>
      </c>
      <c r="L102" t="inlineStr">
        <is>
          <t>ML</t>
        </is>
      </c>
      <c r="M102" t="inlineStr">
        <is>
          <t>Chicago Cubs ML vs Arizona Diamondbacks</t>
        </is>
      </c>
      <c r="N102" t="n">
        <v>1</v>
      </c>
      <c r="O102" t="inlineStr">
        <is>
          <t>-143</t>
        </is>
      </c>
      <c r="P102" s="4" t="n">
        <v>1.6993</v>
      </c>
      <c r="Q102" s="5" t="n">
        <v>75000</v>
      </c>
      <c r="R102" t="inlineStr"/>
      <c r="S102" s="5" t="n">
        <v>127500</v>
      </c>
      <c r="T102" t="inlineStr">
        <is>
          <t>Gamdom</t>
        </is>
      </c>
      <c r="U102" t="inlineStr">
        <is>
          <t>W</t>
        </is>
      </c>
      <c r="V102" s="5">
        <f>IF(NOT(ISNUMBER(Q102)),"",IF(U102="W",IF(ISNUMBER(S102),S102-Q102,IF(ISNUMBER(P102),Q102*(P102-1),"")),IF(U102="L",-Q102,IF(U102="Push",0,""))))</f>
        <v/>
      </c>
      <c r="W102">
        <f>IF(NOT(ISNUMBER(R102)),"",IF(U102="W",IF(ISNUMBER(P102),R102*(P102-1),""),IF(U102="L",-R102,IF(U102="Push",0,""))))</f>
        <v/>
      </c>
      <c r="X102" t="inlineStr">
        <is>
          <t>graded from final</t>
        </is>
      </c>
      <c r="Y102" t="inlineStr">
        <is>
          <t>Y - tags Gamdom</t>
        </is>
      </c>
      <c r="Z102" t="inlineStr">
        <is>
          <t>https://x.com/stevewilldoit/status/2091917936248156622</t>
        </is>
      </c>
      <c r="AA102" t="inlineStr">
        <is>
          <t>AI guy "Cubs FG ML -140"</t>
        </is>
      </c>
      <c r="AB102" t="inlineStr">
        <is>
          <t>Single</t>
        </is>
      </c>
      <c r="AC102" s="5">
        <f>IF(ISNUMBER(V102),Q102,"")</f>
        <v/>
      </c>
      <c r="AD102">
        <f>IF(ISNUMBER(W102),R102,"")</f>
        <v/>
      </c>
    </row>
    <row r="103">
      <c r="A103" t="inlineStr">
        <is>
          <t>S-015706</t>
        </is>
      </c>
      <c r="B103" t="inlineStr">
        <is>
          <t>Steve</t>
        </is>
      </c>
      <c r="C103" s="2" t="n">
        <v>46258.56063657408</v>
      </c>
      <c r="D103">
        <f>IF(C103="","",TEXT(C103,"dddd"))</f>
        <v/>
      </c>
      <c r="E103" s="3" t="n">
        <v>46258</v>
      </c>
      <c r="F103">
        <f>IF(E103="","",TEXT(E103,"dddd"))</f>
        <v/>
      </c>
      <c r="G103" t="inlineStr">
        <is>
          <t>9:40 PM</t>
        </is>
      </c>
      <c r="H103" t="inlineStr">
        <is>
          <t>N</t>
        </is>
      </c>
      <c r="I103" t="inlineStr"/>
      <c r="J103" t="inlineStr">
        <is>
          <t>MLB</t>
        </is>
      </c>
      <c r="K103" t="inlineStr">
        <is>
          <t>MLB</t>
        </is>
      </c>
      <c r="L103" t="inlineStr">
        <is>
          <t>ML</t>
        </is>
      </c>
      <c r="M103" t="inlineStr">
        <is>
          <t>Chicago Cubs ML vs Arizona Diamondbacks</t>
        </is>
      </c>
      <c r="N103" t="n">
        <v>1</v>
      </c>
      <c r="O103" t="inlineStr">
        <is>
          <t>-143</t>
        </is>
      </c>
      <c r="P103" s="4" t="n">
        <v>1.6993</v>
      </c>
      <c r="Q103" s="5" t="n">
        <v>300000</v>
      </c>
      <c r="R103" t="inlineStr"/>
      <c r="S103" s="5" t="n">
        <v>510000</v>
      </c>
      <c r="T103" t="inlineStr">
        <is>
          <t>Gamdom</t>
        </is>
      </c>
      <c r="U103" t="inlineStr">
        <is>
          <t>W</t>
        </is>
      </c>
      <c r="V103" s="5">
        <f>IF(NOT(ISNUMBER(Q103)),"",IF(U103="W",IF(ISNUMBER(S103),S103-Q103,IF(ISNUMBER(P103),Q103*(P103-1),"")),IF(U103="L",-Q103,IF(U103="Push",0,""))))</f>
        <v/>
      </c>
      <c r="W103">
        <f>IF(NOT(ISNUMBER(R103)),"",IF(U103="W",IF(ISNUMBER(P103),R103*(P103-1),""),IF(U103="L",-R103,IF(U103="Push",0,""))))</f>
        <v/>
      </c>
      <c r="X103" t="inlineStr">
        <is>
          <t>graded from final</t>
        </is>
      </c>
      <c r="Y103" t="inlineStr">
        <is>
          <t>Y - tags Gamdom</t>
        </is>
      </c>
      <c r="Z103" t="inlineStr">
        <is>
          <t>https://x.com/stevewilldoit/status/2091955531330015706</t>
        </is>
      </c>
      <c r="AA103" t="inlineStr">
        <is>
          <t>"NUKED THE CUBS"</t>
        </is>
      </c>
      <c r="AB103" t="inlineStr">
        <is>
          <t>Single</t>
        </is>
      </c>
      <c r="AC103" s="5">
        <f>IF(ISNUMBER(V103),Q103,"")</f>
        <v/>
      </c>
      <c r="AD103">
        <f>IF(ISNUMBER(W103),R103,"")</f>
        <v/>
      </c>
    </row>
    <row r="104">
      <c r="A104" t="inlineStr">
        <is>
          <t>S-974691</t>
        </is>
      </c>
      <c r="B104" t="inlineStr">
        <is>
          <t>Steve</t>
        </is>
      </c>
      <c r="C104" s="2" t="n">
        <v>46258.68787037037</v>
      </c>
      <c r="D104">
        <f>IF(C104="","",TEXT(C104,"dddd"))</f>
        <v/>
      </c>
      <c r="E104" s="3" t="n">
        <v>46258</v>
      </c>
      <c r="F104">
        <f>IF(E104="","",TEXT(E104,"dddd"))</f>
        <v/>
      </c>
      <c r="G104" t="inlineStr">
        <is>
          <t>not matched</t>
        </is>
      </c>
      <c r="H104" t="inlineStr">
        <is>
          <t>N</t>
        </is>
      </c>
      <c r="I104" t="inlineStr"/>
      <c r="J104" t="inlineStr">
        <is>
          <t>MLB</t>
        </is>
      </c>
      <c r="K104" t="inlineStr">
        <is>
          <t>MLB</t>
        </is>
      </c>
      <c r="L104" t="inlineStr">
        <is>
          <t>parlay</t>
        </is>
      </c>
      <c r="M104" t="inlineStr">
        <is>
          <t>Boston Red Sox ML; Chicago Cubs ML; (other legs not visible)</t>
        </is>
      </c>
      <c r="N104" t="inlineStr">
        <is>
          <t>2+</t>
        </is>
      </c>
      <c r="O104" t="inlineStr">
        <is>
          <t>+899</t>
        </is>
      </c>
      <c r="P104" s="4" t="n">
        <v>9.99</v>
      </c>
      <c r="Q104" s="5" t="n">
        <v>20000</v>
      </c>
      <c r="R104" t="inlineStr"/>
      <c r="S104" s="5" t="n">
        <v>199800</v>
      </c>
      <c r="T104" t="inlineStr">
        <is>
          <t>Gamdom</t>
        </is>
      </c>
      <c r="U104" t="inlineStr">
        <is>
          <t>Unknown</t>
        </is>
      </c>
      <c r="V104" s="5">
        <f>IF(NOT(ISNUMBER(Q104)),"",IF(U104="W",IF(ISNUMBER(S104),S104-Q104,IF(ISNUMBER(P104),Q104*(P104-1),"")),IF(U104="L",-Q104,IF(U104="Push",0,""))))</f>
        <v/>
      </c>
      <c r="W104">
        <f>IF(NOT(ISNUMBER(R104)),"",IF(U104="W",IF(ISNUMBER(P104),R104*(P104-1),""),IF(U104="L",-R104,IF(U104="Push",0,""))))</f>
        <v/>
      </c>
      <c r="X104" t="inlineStr">
        <is>
          <t>unverified</t>
        </is>
      </c>
      <c r="Y104" t="inlineStr">
        <is>
          <t>N</t>
        </is>
      </c>
      <c r="Z104" t="inlineStr">
        <is>
          <t>https://x.com/stevewilldoit/status/2092001638365974691</t>
        </is>
      </c>
      <c r="AA104" t="inlineStr">
        <is>
          <t>Tailing a follower; "Red sock W" reply; combo odds 9.99 imply more legs than visible; Game date assumed = post date (CT)</t>
        </is>
      </c>
      <c r="AB104" t="inlineStr">
        <is>
          <t>Parlay/multi-leg</t>
        </is>
      </c>
      <c r="AC104" s="5">
        <f>IF(ISNUMBER(V104),Q104,"")</f>
        <v/>
      </c>
      <c r="AD104">
        <f>IF(ISNUMBER(W104),R104,"")</f>
        <v/>
      </c>
    </row>
    <row r="105">
      <c r="A105" t="inlineStr">
        <is>
          <t>S-982268</t>
        </is>
      </c>
      <c r="B105" t="inlineStr">
        <is>
          <t>Steve</t>
        </is>
      </c>
      <c r="C105" s="2" t="n">
        <v>46259.6441087963</v>
      </c>
      <c r="D105">
        <f>IF(C105="","",TEXT(C105,"dddd"))</f>
        <v/>
      </c>
      <c r="E105" s="3" t="n">
        <v>46259</v>
      </c>
      <c r="F105">
        <f>IF(E105="","",TEXT(E105,"dddd"))</f>
        <v/>
      </c>
      <c r="G105" t="inlineStr">
        <is>
          <t>not matched</t>
        </is>
      </c>
      <c r="H105" t="inlineStr">
        <is>
          <t>N</t>
        </is>
      </c>
      <c r="I105" t="inlineStr"/>
      <c r="J105" t="inlineStr">
        <is>
          <t>MLB</t>
        </is>
      </c>
      <c r="K105" t="inlineStr">
        <is>
          <t>MLB</t>
        </is>
      </c>
      <c r="L105" t="inlineStr">
        <is>
          <t>parlay</t>
        </is>
      </c>
      <c r="M105" t="inlineStr">
        <is>
          <t>Milwaukee Brewers ML vs Mets; Angels vs Guardians Under 8.5 (+ possibly others)</t>
        </is>
      </c>
      <c r="N105" t="inlineStr">
        <is>
          <t>2+</t>
        </is>
      </c>
      <c r="O105" t="inlineStr">
        <is>
          <t>+649</t>
        </is>
      </c>
      <c r="P105" s="4" t="n">
        <v>7.49</v>
      </c>
      <c r="Q105" s="5" t="n">
        <v>15000</v>
      </c>
      <c r="R105" t="inlineStr"/>
      <c r="S105" s="5" t="n">
        <v>112350</v>
      </c>
      <c r="T105" t="inlineStr">
        <is>
          <t>Gamdom</t>
        </is>
      </c>
      <c r="U105" t="inlineStr">
        <is>
          <t>L</t>
        </is>
      </c>
      <c r="V105" s="5">
        <f>IF(NOT(ISNUMBER(Q105)),"",IF(U105="W",IF(ISNUMBER(S105),S105-Q105,IF(ISNUMBER(P105),Q105*(P105-1),"")),IF(U105="L",-Q105,IF(U105="Push",0,""))))</f>
        <v/>
      </c>
      <c r="W105">
        <f>IF(NOT(ISNUMBER(R105)),"",IF(U105="W",IF(ISNUMBER(P105),R105*(P105-1),""),IF(U105="L",-R105,IF(U105="Push",0,""))))</f>
        <v/>
      </c>
      <c r="X105" t="inlineStr">
        <is>
          <t>graded from final</t>
        </is>
      </c>
      <c r="Y105" t="inlineStr">
        <is>
          <t>N</t>
        </is>
      </c>
      <c r="Z105" t="inlineStr">
        <is>
          <t>https://x.com/stevewilldoit/status/2092348168578982268</t>
        </is>
      </c>
      <c r="AA105" t="inlineStr">
        <is>
          <t>Tailing a follower ("did under 8.5 instead of 7, 15k instead of 28"); Final: Brewers lost to Mets; LAA/CLE total went over 8.5</t>
        </is>
      </c>
      <c r="AB105" t="inlineStr">
        <is>
          <t>Parlay/multi-leg</t>
        </is>
      </c>
      <c r="AC105" s="5">
        <f>IF(ISNUMBER(V105),Q105,"")</f>
        <v/>
      </c>
      <c r="AD105">
        <f>IF(ISNUMBER(W105),R105,"")</f>
        <v/>
      </c>
    </row>
    <row r="106">
      <c r="A106" t="inlineStr">
        <is>
          <t>T-917346</t>
        </is>
      </c>
      <c r="B106" t="inlineStr">
        <is>
          <t>Trent</t>
        </is>
      </c>
      <c r="C106" s="2" t="n">
        <v>46259.68265046296</v>
      </c>
      <c r="D106">
        <f>IF(C106="","",TEXT(C106,"dddd"))</f>
        <v/>
      </c>
      <c r="E106" s="3" t="n">
        <v>46259</v>
      </c>
      <c r="F106">
        <f>IF(E106="","",TEXT(E106,"dddd"))</f>
        <v/>
      </c>
      <c r="G106" t="inlineStr">
        <is>
          <t>7:45 PM</t>
        </is>
      </c>
      <c r="H106" t="inlineStr">
        <is>
          <t>N</t>
        </is>
      </c>
      <c r="I106" t="inlineStr"/>
      <c r="J106" t="inlineStr">
        <is>
          <t>MLB</t>
        </is>
      </c>
      <c r="K106" t="inlineStr">
        <is>
          <t>MLB</t>
        </is>
      </c>
      <c r="L106" t="inlineStr">
        <is>
          <t>ML</t>
        </is>
      </c>
      <c r="M106" t="inlineStr">
        <is>
          <t>Cardinals ML</t>
        </is>
      </c>
      <c r="N106" t="n">
        <v>1</v>
      </c>
      <c r="O106" t="inlineStr">
        <is>
          <t>-125</t>
        </is>
      </c>
      <c r="P106" s="4" t="n">
        <v>1.8</v>
      </c>
      <c r="Q106" s="5" t="inlineStr"/>
      <c r="R106" t="inlineStr"/>
      <c r="S106" s="5" t="inlineStr"/>
      <c r="T106" t="inlineStr">
        <is>
          <t>not shown</t>
        </is>
      </c>
      <c r="U106" t="inlineStr">
        <is>
          <t>L</t>
        </is>
      </c>
      <c r="V106" s="5">
        <f>IF(NOT(ISNUMBER(Q106)),"",IF(U106="W",IF(ISNUMBER(S106),S106-Q106,IF(ISNUMBER(P106),Q106*(P106-1),"")),IF(U106="L",-Q106,IF(U106="Push",0,""))))</f>
        <v/>
      </c>
      <c r="W106">
        <f>IF(NOT(ISNUMBER(R106)),"",IF(U106="W",IF(ISNUMBER(P106),R106*(P106-1),""),IF(U106="L",-R106,IF(U106="Push",0,""))))</f>
        <v/>
      </c>
      <c r="X106" t="inlineStr">
        <is>
          <t>graded from final</t>
        </is>
      </c>
      <c r="Y106" t="inlineStr">
        <is>
          <t>N</t>
        </is>
      </c>
      <c r="Z106" t="inlineStr">
        <is>
          <t>https://x.com/BookitWithTrent/status/2092362134415917346</t>
        </is>
      </c>
      <c r="AA106" t="inlineStr">
        <is>
          <t>"Mortal Mega Max of the Night"</t>
        </is>
      </c>
      <c r="AB106" t="inlineStr">
        <is>
          <t>Single</t>
        </is>
      </c>
      <c r="AC106" s="5">
        <f>IF(ISNUMBER(V106),Q106,"")</f>
        <v/>
      </c>
      <c r="AD106">
        <f>IF(ISNUMBER(W106),R106,"")</f>
        <v/>
      </c>
    </row>
    <row r="107">
      <c r="A107" t="inlineStr">
        <is>
          <t>S-087679</t>
        </is>
      </c>
      <c r="B107" t="inlineStr">
        <is>
          <t>Steve</t>
        </is>
      </c>
      <c r="C107" s="2" t="n">
        <v>46259.83048611111</v>
      </c>
      <c r="D107">
        <f>IF(C107="","",TEXT(C107,"dddd"))</f>
        <v/>
      </c>
      <c r="E107" s="3" t="n">
        <v>46259</v>
      </c>
      <c r="F107">
        <f>IF(E107="","",TEXT(E107,"dddd"))</f>
        <v/>
      </c>
      <c r="G107" t="inlineStr">
        <is>
          <t>9:45 PM</t>
        </is>
      </c>
      <c r="H107" t="inlineStr">
        <is>
          <t>N</t>
        </is>
      </c>
      <c r="I107" t="inlineStr"/>
      <c r="J107" t="inlineStr">
        <is>
          <t>MLB</t>
        </is>
      </c>
      <c r="K107" t="inlineStr">
        <is>
          <t>MLB</t>
        </is>
      </c>
      <c r="L107" t="inlineStr">
        <is>
          <t>ML</t>
        </is>
      </c>
      <c r="M107" t="inlineStr">
        <is>
          <t>San Francisco Giants ML vs Cincinnati Reds</t>
        </is>
      </c>
      <c r="N107" t="n">
        <v>1</v>
      </c>
      <c r="O107" t="inlineStr">
        <is>
          <t>-110</t>
        </is>
      </c>
      <c r="P107" s="4" t="n">
        <v>1.9091</v>
      </c>
      <c r="Q107" s="5" t="n">
        <v>100000</v>
      </c>
      <c r="R107" t="inlineStr"/>
      <c r="S107" s="5" t="n">
        <v>191000</v>
      </c>
      <c r="T107" t="inlineStr">
        <is>
          <t>Gamdom</t>
        </is>
      </c>
      <c r="U107" t="inlineStr">
        <is>
          <t>W</t>
        </is>
      </c>
      <c r="V107" s="5">
        <f>IF(NOT(ISNUMBER(Q107)),"",IF(U107="W",IF(ISNUMBER(S107),S107-Q107,IF(ISNUMBER(P107),Q107*(P107-1),"")),IF(U107="L",-Q107,IF(U107="Push",0,""))))</f>
        <v/>
      </c>
      <c r="W107">
        <f>IF(NOT(ISNUMBER(R107)),"",IF(U107="W",IF(ISNUMBER(P107),R107*(P107-1),""),IF(U107="L",-R107,IF(U107="Push",0,""))))</f>
        <v/>
      </c>
      <c r="X107" t="inlineStr">
        <is>
          <t>posted</t>
        </is>
      </c>
      <c r="Y107" t="inlineStr">
        <is>
          <t>N</t>
        </is>
      </c>
      <c r="Z107" t="inlineStr">
        <is>
          <t>https://x.com/stevewilldoit/status/2092415708911087679</t>
        </is>
      </c>
      <c r="AA107" t="inlineStr">
        <is>
          <t>6ix9ine / AI guy pick; "We hit!!! BOOOOOOM"</t>
        </is>
      </c>
      <c r="AB107" t="inlineStr">
        <is>
          <t>Single</t>
        </is>
      </c>
      <c r="AC107" s="5">
        <f>IF(ISNUMBER(V107),Q107,"")</f>
        <v/>
      </c>
      <c r="AD107">
        <f>IF(ISNUMBER(W107),R107,"")</f>
        <v/>
      </c>
    </row>
    <row r="108">
      <c r="A108" t="inlineStr">
        <is>
          <t>S-699814</t>
        </is>
      </c>
      <c r="B108" t="inlineStr">
        <is>
          <t>Steve</t>
        </is>
      </c>
      <c r="C108" s="2" t="n">
        <v>46260.4684837963</v>
      </c>
      <c r="D108">
        <f>IF(C108="","",TEXT(C108,"dddd"))</f>
        <v/>
      </c>
      <c r="E108" s="3" t="n">
        <v>46260</v>
      </c>
      <c r="F108">
        <f>IF(E108="","",TEXT(E108,"dddd"))</f>
        <v/>
      </c>
      <c r="G108" t="inlineStr">
        <is>
          <t>4:07 PM</t>
        </is>
      </c>
      <c r="H108" t="inlineStr">
        <is>
          <t>N</t>
        </is>
      </c>
      <c r="I108" t="inlineStr"/>
      <c r="J108" t="inlineStr">
        <is>
          <t>MLB</t>
        </is>
      </c>
      <c r="K108" t="inlineStr">
        <is>
          <t>MLB</t>
        </is>
      </c>
      <c r="L108" t="inlineStr">
        <is>
          <t>ML</t>
        </is>
      </c>
      <c r="M108" t="inlineStr">
        <is>
          <t>Cleveland Guardians F5 1x2 vs LA Angels</t>
        </is>
      </c>
      <c r="N108" t="n">
        <v>1</v>
      </c>
      <c r="O108" t="inlineStr">
        <is>
          <t>+101</t>
        </is>
      </c>
      <c r="P108" s="4" t="n">
        <v>2.01</v>
      </c>
      <c r="Q108" s="5" t="n">
        <v>50000</v>
      </c>
      <c r="R108" t="inlineStr"/>
      <c r="S108" s="5" t="n">
        <v>100500</v>
      </c>
      <c r="T108" t="inlineStr">
        <is>
          <t>Gamdom</t>
        </is>
      </c>
      <c r="U108" t="inlineStr">
        <is>
          <t>Push</t>
        </is>
      </c>
      <c r="V108" s="5">
        <f>IF(NOT(ISNUMBER(Q108)),"",IF(U108="W",IF(ISNUMBER(S108),S108-Q108,IF(ISNUMBER(P108),Q108*(P108-1),"")),IF(U108="L",-Q108,IF(U108="Push",0,""))))</f>
        <v/>
      </c>
      <c r="W108">
        <f>IF(NOT(ISNUMBER(R108)),"",IF(U108="W",IF(ISNUMBER(P108),R108*(P108-1),""),IF(U108="L",-R108,IF(U108="Push",0,""))))</f>
        <v/>
      </c>
      <c r="X108" t="inlineStr">
        <is>
          <t>posted</t>
        </is>
      </c>
      <c r="Y108" t="inlineStr">
        <is>
          <t>Y - tags Gamdom</t>
        </is>
      </c>
      <c r="Z108" t="inlineStr">
        <is>
          <t>https://x.com/stevewilldoit/status/2092646910565699814</t>
        </is>
      </c>
      <c r="AA108" t="inlineStr">
        <is>
          <t>Voided and replaced ("I changed my bet... voided the other one"); stake returned</t>
        </is>
      </c>
      <c r="AB108" t="inlineStr">
        <is>
          <t>Single</t>
        </is>
      </c>
      <c r="AC108" s="5">
        <f>IF(ISNUMBER(V108),Q108,"")</f>
        <v/>
      </c>
      <c r="AD108">
        <f>IF(ISNUMBER(W108),R108,"")</f>
        <v/>
      </c>
    </row>
    <row r="109">
      <c r="A109" t="inlineStr">
        <is>
          <t>S-699814b</t>
        </is>
      </c>
      <c r="B109" t="inlineStr">
        <is>
          <t>Steve</t>
        </is>
      </c>
      <c r="C109" s="2" t="n">
        <v>46260.4684837963</v>
      </c>
      <c r="D109">
        <f>IF(C109="","",TEXT(C109,"dddd"))</f>
        <v/>
      </c>
      <c r="E109" s="3" t="n">
        <v>46260</v>
      </c>
      <c r="F109">
        <f>IF(E109="","",TEXT(E109,"dddd"))</f>
        <v/>
      </c>
      <c r="G109" t="inlineStr">
        <is>
          <t>7:07 PM</t>
        </is>
      </c>
      <c r="H109" t="inlineStr">
        <is>
          <t>N</t>
        </is>
      </c>
      <c r="I109" t="inlineStr"/>
      <c r="J109" t="inlineStr">
        <is>
          <t>MLB</t>
        </is>
      </c>
      <c r="K109" t="inlineStr">
        <is>
          <t>MLB</t>
        </is>
      </c>
      <c r="L109" t="inlineStr">
        <is>
          <t>parlay</t>
        </is>
      </c>
      <c r="M109" t="inlineStr">
        <is>
          <t>Cleveland Guardians F5; Blue Jays vs Royals F5 Under 5</t>
        </is>
      </c>
      <c r="N109" t="n">
        <v>2</v>
      </c>
      <c r="O109" t="inlineStr">
        <is>
          <t>+252</t>
        </is>
      </c>
      <c r="P109" s="4" t="n">
        <v>3.52</v>
      </c>
      <c r="Q109" s="5" t="n">
        <v>15000</v>
      </c>
      <c r="R109" t="inlineStr"/>
      <c r="S109" s="5" t="n">
        <v>52800</v>
      </c>
      <c r="T109" t="inlineStr">
        <is>
          <t>Gamdom</t>
        </is>
      </c>
      <c r="U109" t="inlineStr">
        <is>
          <t>L</t>
        </is>
      </c>
      <c r="V109" s="5">
        <f>IF(NOT(ISNUMBER(Q109)),"",IF(U109="W",IF(ISNUMBER(S109),S109-Q109,IF(ISNUMBER(P109),Q109*(P109-1),"")),IF(U109="L",-Q109,IF(U109="Push",0,""))))</f>
        <v/>
      </c>
      <c r="W109">
        <f>IF(NOT(ISNUMBER(R109)),"",IF(U109="W",IF(ISNUMBER(P109),R109*(P109-1),""),IF(U109="L",-R109,IF(U109="Push",0,""))))</f>
        <v/>
      </c>
      <c r="X109" t="inlineStr">
        <is>
          <t>graded from final</t>
        </is>
      </c>
      <c r="Y109" t="inlineStr">
        <is>
          <t>Y - tags Gamdom</t>
        </is>
      </c>
      <c r="Z109" t="inlineStr">
        <is>
          <t>https://x.com/stevewilldoit/status/2092646910565699814</t>
        </is>
      </c>
      <c r="AA109" t="inlineStr"/>
      <c r="AB109" t="inlineStr">
        <is>
          <t>Parlay/multi-leg</t>
        </is>
      </c>
      <c r="AC109" s="5">
        <f>IF(ISNUMBER(V109),Q109,"")</f>
        <v/>
      </c>
      <c r="AD109">
        <f>IF(ISNUMBER(W109),R109,"")</f>
        <v/>
      </c>
    </row>
    <row r="110">
      <c r="A110" t="inlineStr">
        <is>
          <t>S-699814c</t>
        </is>
      </c>
      <c r="B110" t="inlineStr">
        <is>
          <t>Steve</t>
        </is>
      </c>
      <c r="C110" s="2" t="n">
        <v>46260.4684837963</v>
      </c>
      <c r="D110">
        <f>IF(C110="","",TEXT(C110,"dddd"))</f>
        <v/>
      </c>
      <c r="E110" s="3" t="n">
        <v>46260</v>
      </c>
      <c r="F110">
        <f>IF(E110="","",TEXT(E110,"dddd"))</f>
        <v/>
      </c>
      <c r="G110" t="inlineStr">
        <is>
          <t>7:07 PM</t>
        </is>
      </c>
      <c r="H110" t="inlineStr">
        <is>
          <t>N</t>
        </is>
      </c>
      <c r="I110" t="inlineStr"/>
      <c r="J110" t="inlineStr">
        <is>
          <t>MLB</t>
        </is>
      </c>
      <c r="K110" t="inlineStr">
        <is>
          <t>MLB</t>
        </is>
      </c>
      <c r="L110" t="inlineStr">
        <is>
          <t>total</t>
        </is>
      </c>
      <c r="M110" t="inlineStr">
        <is>
          <t>Blue Jays vs Royals F5 Under 5</t>
        </is>
      </c>
      <c r="N110" t="n">
        <v>1</v>
      </c>
      <c r="O110" t="inlineStr">
        <is>
          <t>-133</t>
        </is>
      </c>
      <c r="P110" s="4" t="n">
        <v>1.7519</v>
      </c>
      <c r="Q110" s="5" t="n">
        <v>75000</v>
      </c>
      <c r="R110" t="inlineStr"/>
      <c r="S110" s="5" t="n">
        <v>131250</v>
      </c>
      <c r="T110" t="inlineStr">
        <is>
          <t>Gamdom</t>
        </is>
      </c>
      <c r="U110" t="inlineStr">
        <is>
          <t>W</t>
        </is>
      </c>
      <c r="V110" s="5">
        <f>IF(NOT(ISNUMBER(Q110)),"",IF(U110="W",IF(ISNUMBER(S110),S110-Q110,IF(ISNUMBER(P110),Q110*(P110-1),"")),IF(U110="L",-Q110,IF(U110="Push",0,""))))</f>
        <v/>
      </c>
      <c r="W110">
        <f>IF(NOT(ISNUMBER(R110)),"",IF(U110="W",IF(ISNUMBER(P110),R110*(P110-1),""),IF(U110="L",-R110,IF(U110="Push",0,""))))</f>
        <v/>
      </c>
      <c r="X110" t="inlineStr">
        <is>
          <t>graded from final</t>
        </is>
      </c>
      <c r="Y110" t="inlineStr">
        <is>
          <t>Y - tags Gamdom</t>
        </is>
      </c>
      <c r="Z110" t="inlineStr">
        <is>
          <t>https://x.com/stevewilldoit/status/2092646910565699814</t>
        </is>
      </c>
      <c r="AA110" t="inlineStr">
        <is>
          <t>AI guy "KC-TOR F5 Under 5 -120"</t>
        </is>
      </c>
      <c r="AB110" t="inlineStr">
        <is>
          <t>Single</t>
        </is>
      </c>
      <c r="AC110" s="5">
        <f>IF(ISNUMBER(V110),Q110,"")</f>
        <v/>
      </c>
      <c r="AD110">
        <f>IF(ISNUMBER(W110),R110,"")</f>
        <v/>
      </c>
    </row>
    <row r="111">
      <c r="A111" t="inlineStr">
        <is>
          <t>T-535818</t>
        </is>
      </c>
      <c r="B111" t="inlineStr">
        <is>
          <t>Trent</t>
        </is>
      </c>
      <c r="C111" s="2" t="n">
        <v>46260.47173611111</v>
      </c>
      <c r="D111">
        <f>IF(C111="","",TEXT(C111,"dddd"))</f>
        <v/>
      </c>
      <c r="E111" s="3" t="n">
        <v>46260</v>
      </c>
      <c r="F111">
        <f>IF(E111="","",TEXT(E111,"dddd"))</f>
        <v/>
      </c>
      <c r="G111" t="inlineStr">
        <is>
          <t>1:10 PM</t>
        </is>
      </c>
      <c r="H111" t="inlineStr">
        <is>
          <t>N</t>
        </is>
      </c>
      <c r="I111" t="inlineStr"/>
      <c r="J111" t="inlineStr">
        <is>
          <t>MLB</t>
        </is>
      </c>
      <c r="K111" t="inlineStr">
        <is>
          <t>MLB</t>
        </is>
      </c>
      <c r="L111" t="inlineStr">
        <is>
          <t>prop</t>
        </is>
      </c>
      <c r="M111" t="inlineStr">
        <is>
          <t>Tigers/Rays NRFI</t>
        </is>
      </c>
      <c r="N111" t="n">
        <v>1</v>
      </c>
      <c r="O111" t="inlineStr">
        <is>
          <t>not shown</t>
        </is>
      </c>
      <c r="P111" s="4" t="inlineStr"/>
      <c r="Q111" s="5" t="inlineStr"/>
      <c r="R111" t="inlineStr"/>
      <c r="S111" s="5" t="inlineStr"/>
      <c r="T111" t="inlineStr">
        <is>
          <t>not shown</t>
        </is>
      </c>
      <c r="U111" t="inlineStr">
        <is>
          <t>W</t>
        </is>
      </c>
      <c r="V111" s="5">
        <f>IF(NOT(ISNUMBER(Q111)),"",IF(U111="W",IF(ISNUMBER(S111),S111-Q111,IF(ISNUMBER(P111),Q111*(P111-1),"")),IF(U111="L",-Q111,IF(U111="Push",0,""))))</f>
        <v/>
      </c>
      <c r="W111">
        <f>IF(NOT(ISNUMBER(R111)),"",IF(U111="W",IF(ISNUMBER(P111),R111*(P111-1),""),IF(U111="L",-R111,IF(U111="Push",0,""))))</f>
        <v/>
      </c>
      <c r="X111" t="inlineStr">
        <is>
          <t>posted</t>
        </is>
      </c>
      <c r="Y111" t="inlineStr">
        <is>
          <t>N</t>
        </is>
      </c>
      <c r="Z111" t="inlineStr">
        <is>
          <t>https://x.com/BookitWithTrent/status/2092648088720535818</t>
        </is>
      </c>
      <c r="AA111" t="inlineStr">
        <is>
          <t>"NRFI is a MAX"; "BANNNNGG HOWSYA 6 OUTS"</t>
        </is>
      </c>
      <c r="AB111" t="inlineStr">
        <is>
          <t>Single</t>
        </is>
      </c>
      <c r="AC111" s="5">
        <f>IF(ISNUMBER(V111),Q111,"")</f>
        <v/>
      </c>
      <c r="AD111">
        <f>IF(ISNUMBER(W111),R111,"")</f>
        <v/>
      </c>
    </row>
    <row r="112">
      <c r="A112" t="inlineStr">
        <is>
          <t>S-509268</t>
        </is>
      </c>
      <c r="B112" t="inlineStr">
        <is>
          <t>Steve</t>
        </is>
      </c>
      <c r="C112" s="2" t="n">
        <v>46260.5421412037</v>
      </c>
      <c r="D112">
        <f>IF(C112="","",TEXT(C112,"dddd"))</f>
        <v/>
      </c>
      <c r="E112" s="3" t="n">
        <v>46260</v>
      </c>
      <c r="F112">
        <f>IF(E112="","",TEXT(E112,"dddd"))</f>
        <v/>
      </c>
      <c r="G112" t="inlineStr">
        <is>
          <t>4:07 PM</t>
        </is>
      </c>
      <c r="H112" t="inlineStr">
        <is>
          <t>N</t>
        </is>
      </c>
      <c r="I112" t="inlineStr"/>
      <c r="J112" t="inlineStr">
        <is>
          <t>MLB</t>
        </is>
      </c>
      <c r="K112" t="inlineStr">
        <is>
          <t>MLB</t>
        </is>
      </c>
      <c r="L112" t="inlineStr">
        <is>
          <t>spread</t>
        </is>
      </c>
      <c r="M112" t="inlineStr">
        <is>
          <t>Cleveland Guardians F5 handicap (0) vs LA Angels</t>
        </is>
      </c>
      <c r="N112" t="n">
        <v>1</v>
      </c>
      <c r="O112" t="inlineStr">
        <is>
          <t>-145</t>
        </is>
      </c>
      <c r="P112" s="4" t="n">
        <v>1.6897</v>
      </c>
      <c r="Q112" s="5" t="n">
        <v>75000</v>
      </c>
      <c r="R112" t="inlineStr"/>
      <c r="S112" s="5" t="n">
        <v>126750</v>
      </c>
      <c r="T112" t="inlineStr">
        <is>
          <t>Gamdom</t>
        </is>
      </c>
      <c r="U112" t="inlineStr">
        <is>
          <t>L</t>
        </is>
      </c>
      <c r="V112" s="5">
        <f>IF(NOT(ISNUMBER(Q112)),"",IF(U112="W",IF(ISNUMBER(S112),S112-Q112,IF(ISNUMBER(P112),Q112*(P112-1),"")),IF(U112="L",-Q112,IF(U112="Push",0,""))))</f>
        <v/>
      </c>
      <c r="W112">
        <f>IF(NOT(ISNUMBER(R112)),"",IF(U112="W",IF(ISNUMBER(P112),R112*(P112-1),""),IF(U112="L",-R112,IF(U112="Push",0,""))))</f>
        <v/>
      </c>
      <c r="X112" t="inlineStr">
        <is>
          <t>graded from final</t>
        </is>
      </c>
      <c r="Y112" t="inlineStr">
        <is>
          <t>N</t>
        </is>
      </c>
      <c r="Z112" t="inlineStr">
        <is>
          <t>https://x.com/stevewilldoit/status/2092673600830509268</t>
        </is>
      </c>
      <c r="AA112" t="inlineStr">
        <is>
          <t>Replacement bet; AI guy "Cleveland F5 ML -135"</t>
        </is>
      </c>
      <c r="AB112" t="inlineStr">
        <is>
          <t>Single</t>
        </is>
      </c>
      <c r="AC112" s="5">
        <f>IF(ISNUMBER(V112),Q112,"")</f>
        <v/>
      </c>
      <c r="AD112">
        <f>IF(ISNUMBER(W112),R112,"")</f>
        <v/>
      </c>
    </row>
    <row r="113">
      <c r="A113" t="inlineStr">
        <is>
          <t>T-398580</t>
        </is>
      </c>
      <c r="B113" t="inlineStr">
        <is>
          <t>Trent</t>
        </is>
      </c>
      <c r="C113" s="2" t="n">
        <v>46260.61340277778</v>
      </c>
      <c r="D113">
        <f>IF(C113="","",TEXT(C113,"dddd"))</f>
        <v/>
      </c>
      <c r="E113" s="3" t="n">
        <v>46260</v>
      </c>
      <c r="F113">
        <f>IF(E113="","",TEXT(E113,"dddd"))</f>
        <v/>
      </c>
      <c r="G113" t="inlineStr">
        <is>
          <t>9:05 PM</t>
        </is>
      </c>
      <c r="H113" t="inlineStr">
        <is>
          <t>N</t>
        </is>
      </c>
      <c r="I113" t="inlineStr"/>
      <c r="J113" t="inlineStr">
        <is>
          <t>MLB</t>
        </is>
      </c>
      <c r="K113" t="inlineStr">
        <is>
          <t>MLB</t>
        </is>
      </c>
      <c r="L113" t="inlineStr">
        <is>
          <t>parlay</t>
        </is>
      </c>
      <c r="M113" t="inlineStr">
        <is>
          <t>Dodgers ML; Twins ML; Blue Jays ML; Brewers ML; White Sox ML</t>
        </is>
      </c>
      <c r="N113" t="n">
        <v>5</v>
      </c>
      <c r="O113" t="inlineStr">
        <is>
          <t>+1500</t>
        </is>
      </c>
      <c r="P113" s="4" t="n">
        <v>16</v>
      </c>
      <c r="Q113" s="5" t="n">
        <v>500</v>
      </c>
      <c r="R113" t="inlineStr"/>
      <c r="S113" s="5" t="n">
        <v>8000</v>
      </c>
      <c r="T113" t="inlineStr">
        <is>
          <t>Pikkit</t>
        </is>
      </c>
      <c r="U113" t="inlineStr">
        <is>
          <t>L</t>
        </is>
      </c>
      <c r="V113" s="5">
        <f>IF(NOT(ISNUMBER(Q113)),"",IF(U113="W",IF(ISNUMBER(S113),S113-Q113,IF(ISNUMBER(P113),Q113*(P113-1),"")),IF(U113="L",-Q113,IF(U113="Push",0,""))))</f>
        <v/>
      </c>
      <c r="W113">
        <f>IF(NOT(ISNUMBER(R113)),"",IF(U113="W",IF(ISNUMBER(P113),R113*(P113-1),""),IF(U113="L",-R113,IF(U113="Push",0,""))))</f>
        <v/>
      </c>
      <c r="X113" t="inlineStr">
        <is>
          <t>posted</t>
        </is>
      </c>
      <c r="Y113" t="inlineStr">
        <is>
          <t>N</t>
        </is>
      </c>
      <c r="Z113" t="inlineStr">
        <is>
          <t>https://x.com/BookitWithTrent/status/2092699428293398580</t>
        </is>
      </c>
      <c r="AA113" t="inlineStr">
        <is>
          <t>"Fugazi on a Wednesday"; result slip 297447 shows Dodgers leg lost</t>
        </is>
      </c>
      <c r="AB113" t="inlineStr">
        <is>
          <t>Parlay/multi-leg</t>
        </is>
      </c>
      <c r="AC113" s="5">
        <f>IF(ISNUMBER(V113),Q113,"")</f>
        <v/>
      </c>
      <c r="AD113">
        <f>IF(ISNUMBER(W113),R113,"")</f>
        <v/>
      </c>
    </row>
    <row r="114">
      <c r="A114" t="inlineStr">
        <is>
          <t>T-943438</t>
        </is>
      </c>
      <c r="B114" t="inlineStr">
        <is>
          <t>Trent</t>
        </is>
      </c>
      <c r="C114" s="2" t="n">
        <v>46260.65111111111</v>
      </c>
      <c r="D114">
        <f>IF(C114="","",TEXT(C114,"dddd"))</f>
        <v/>
      </c>
      <c r="E114" s="3" t="n">
        <v>46260</v>
      </c>
      <c r="F114">
        <f>IF(E114="","",TEXT(E114,"dddd"))</f>
        <v/>
      </c>
      <c r="G114" t="inlineStr">
        <is>
          <t>not matched</t>
        </is>
      </c>
      <c r="H114" t="inlineStr">
        <is>
          <t>Unknown</t>
        </is>
      </c>
      <c r="I114" t="inlineStr">
        <is>
          <t>kickoff not matched</t>
        </is>
      </c>
      <c r="J114" t="inlineStr">
        <is>
          <t>CFB</t>
        </is>
      </c>
      <c r="K114" t="inlineStr">
        <is>
          <t>CFB</t>
        </is>
      </c>
      <c r="L114" t="inlineStr">
        <is>
          <t>futures</t>
        </is>
      </c>
      <c r="M114" t="inlineStr">
        <is>
          <t>Sagapolutele o3249.5 pass yds; Trinidad Chambliss o3224.5 reg-season pass yds; Jeremiah Smith o1149.5 rec yds; Ryan Wingo o724.5 rec yds; LJ Martin o1124.5 rush yds</t>
        </is>
      </c>
      <c r="N114" t="n">
        <v>5</v>
      </c>
      <c r="O114" t="inlineStr">
        <is>
          <t>+1900</t>
        </is>
      </c>
      <c r="P114" s="4" t="n">
        <v>20</v>
      </c>
      <c r="Q114" s="5" t="n">
        <v>2000</v>
      </c>
      <c r="R114" t="inlineStr"/>
      <c r="S114" s="5" t="n">
        <v>38000</v>
      </c>
      <c r="T114" t="inlineStr">
        <is>
          <t>Pikkit</t>
        </is>
      </c>
      <c r="U114" t="inlineStr">
        <is>
          <t>Pending</t>
        </is>
      </c>
      <c r="V114" s="5">
        <f>IF(NOT(ISNUMBER(Q114)),"",IF(U114="W",IF(ISNUMBER(S114),S114-Q114,IF(ISNUMBER(P114),Q114*(P114-1),"")),IF(U114="L",-Q114,IF(U114="Push",0,""))))</f>
        <v/>
      </c>
      <c r="W114">
        <f>IF(NOT(ISNUMBER(R114)),"",IF(U114="W",IF(ISNUMBER(P114),R114*(P114-1),""),IF(U114="L",-R114,IF(U114="Push",0,""))))</f>
        <v/>
      </c>
      <c r="X114" t="inlineStr">
        <is>
          <t>pending</t>
        </is>
      </c>
      <c r="Y114" t="inlineStr">
        <is>
          <t>N</t>
        </is>
      </c>
      <c r="Z114" t="inlineStr">
        <is>
          <t>https://x.com/BookitWithTrent/status/2092713090252943438</t>
        </is>
      </c>
      <c r="AA114" t="inlineStr">
        <is>
          <t>"2026 College Football Goat Whale" season-long futures; Game date assumed = post date (CT)</t>
        </is>
      </c>
      <c r="AB114" t="inlineStr">
        <is>
          <t>Parlay/multi-leg</t>
        </is>
      </c>
      <c r="AC114" s="5">
        <f>IF(ISNUMBER(V114),Q114,"")</f>
        <v/>
      </c>
      <c r="AD114">
        <f>IF(ISNUMBER(W114),R114,"")</f>
        <v/>
      </c>
    </row>
    <row r="115">
      <c r="A115" t="inlineStr">
        <is>
          <t>T-729515</t>
        </is>
      </c>
      <c r="B115" t="inlineStr">
        <is>
          <t>Trent</t>
        </is>
      </c>
      <c r="C115" s="2" t="n">
        <v>46260.7128125</v>
      </c>
      <c r="D115">
        <f>IF(C115="","",TEXT(C115,"dddd"))</f>
        <v/>
      </c>
      <c r="E115" s="3" t="n">
        <v>46260</v>
      </c>
      <c r="F115">
        <f>IF(E115="","",TEXT(E115,"dddd"))</f>
        <v/>
      </c>
      <c r="G115" t="inlineStr">
        <is>
          <t>6:40 PM</t>
        </is>
      </c>
      <c r="H115" t="inlineStr">
        <is>
          <t>N</t>
        </is>
      </c>
      <c r="I115" t="inlineStr"/>
      <c r="J115" t="inlineStr">
        <is>
          <t>MLB</t>
        </is>
      </c>
      <c r="K115" t="inlineStr">
        <is>
          <t>MLB</t>
        </is>
      </c>
      <c r="L115" t="inlineStr">
        <is>
          <t>prop</t>
        </is>
      </c>
      <c r="M115" t="inlineStr">
        <is>
          <t>Red Sox/Marlins NRFI</t>
        </is>
      </c>
      <c r="N115" t="n">
        <v>1</v>
      </c>
      <c r="O115" t="inlineStr">
        <is>
          <t>-130</t>
        </is>
      </c>
      <c r="P115" s="4" t="n">
        <v>1.7692</v>
      </c>
      <c r="Q115" s="5" t="inlineStr"/>
      <c r="R115" t="inlineStr"/>
      <c r="S115" s="5" t="inlineStr"/>
      <c r="T115" t="inlineStr">
        <is>
          <t>not shown</t>
        </is>
      </c>
      <c r="U115" t="inlineStr">
        <is>
          <t>L</t>
        </is>
      </c>
      <c r="V115" s="5">
        <f>IF(NOT(ISNUMBER(Q115)),"",IF(U115="W",IF(ISNUMBER(S115),S115-Q115,IF(ISNUMBER(P115),Q115*(P115-1),"")),IF(U115="L",-Q115,IF(U115="Push",0,""))))</f>
        <v/>
      </c>
      <c r="W115">
        <f>IF(NOT(ISNUMBER(R115)),"",IF(U115="W",IF(ISNUMBER(P115),R115*(P115-1),""),IF(U115="L",-R115,IF(U115="Push",0,""))))</f>
        <v/>
      </c>
      <c r="X115" t="inlineStr">
        <is>
          <t>graded from final</t>
        </is>
      </c>
      <c r="Y115" t="inlineStr">
        <is>
          <t>N</t>
        </is>
      </c>
      <c r="Z115" t="inlineStr">
        <is>
          <t>https://x.com/BookitWithTrent/status/2092735453845729515</t>
        </is>
      </c>
      <c r="AA115" t="inlineStr">
        <is>
          <t>"NRFI mortal mega max"</t>
        </is>
      </c>
      <c r="AB115" t="inlineStr">
        <is>
          <t>Single</t>
        </is>
      </c>
      <c r="AC115" s="5">
        <f>IF(ISNUMBER(V115),Q115,"")</f>
        <v/>
      </c>
      <c r="AD115">
        <f>IF(ISNUMBER(W115),R115,"")</f>
        <v/>
      </c>
    </row>
    <row r="116">
      <c r="A116" t="inlineStr">
        <is>
          <t>S-228228</t>
        </is>
      </c>
      <c r="B116" t="inlineStr">
        <is>
          <t>Steve</t>
        </is>
      </c>
      <c r="C116" s="2" t="n">
        <v>46260.84346064815</v>
      </c>
      <c r="D116">
        <f>IF(C116="","",TEXT(C116,"dddd"))</f>
        <v/>
      </c>
      <c r="E116" s="3" t="n">
        <v>46260</v>
      </c>
      <c r="F116">
        <f>IF(E116="","",TEXT(E116,"dddd"))</f>
        <v/>
      </c>
      <c r="G116" t="inlineStr">
        <is>
          <t>7:15 PM</t>
        </is>
      </c>
      <c r="H116" t="inlineStr">
        <is>
          <t>N</t>
        </is>
      </c>
      <c r="I116" t="inlineStr"/>
      <c r="J116" t="inlineStr">
        <is>
          <t>MLB</t>
        </is>
      </c>
      <c r="K116" t="inlineStr">
        <is>
          <t>MLB</t>
        </is>
      </c>
      <c r="L116" t="inlineStr">
        <is>
          <t>spread</t>
        </is>
      </c>
      <c r="M116" t="inlineStr">
        <is>
          <t>Los Angeles Dodgers +1.5 (live) vs Atlanta Braves</t>
        </is>
      </c>
      <c r="N116" t="n">
        <v>1</v>
      </c>
      <c r="O116" t="inlineStr">
        <is>
          <t>-182</t>
        </is>
      </c>
      <c r="P116" s="4" t="n">
        <v>1.5495</v>
      </c>
      <c r="Q116" s="5" t="n">
        <v>100000</v>
      </c>
      <c r="R116" t="inlineStr"/>
      <c r="S116" s="5" t="n">
        <v>155000</v>
      </c>
      <c r="T116" t="inlineStr">
        <is>
          <t>Gamdom</t>
        </is>
      </c>
      <c r="U116" t="inlineStr">
        <is>
          <t>W</t>
        </is>
      </c>
      <c r="V116" s="5">
        <f>IF(NOT(ISNUMBER(Q116)),"",IF(U116="W",IF(ISNUMBER(S116),S116-Q116,IF(ISNUMBER(P116),Q116*(P116-1),"")),IF(U116="L",-Q116,IF(U116="Push",0,""))))</f>
        <v/>
      </c>
      <c r="W116">
        <f>IF(NOT(ISNUMBER(R116)),"",IF(U116="W",IF(ISNUMBER(P116),R116*(P116-1),""),IF(U116="L",-R116,IF(U116="Push",0,""))))</f>
        <v/>
      </c>
      <c r="X116" t="inlineStr">
        <is>
          <t>graded from final</t>
        </is>
      </c>
      <c r="Y116" t="inlineStr">
        <is>
          <t>N</t>
        </is>
      </c>
      <c r="Z116" t="inlineStr">
        <is>
          <t>https://x.com/stevewilldoit/status/2092782798004228228</t>
        </is>
      </c>
      <c r="AA116" t="inlineStr">
        <is>
          <t>"Stupid live bet because of 6ix9ine"</t>
        </is>
      </c>
      <c r="AB116" t="inlineStr">
        <is>
          <t>Single</t>
        </is>
      </c>
      <c r="AC116" s="5">
        <f>IF(ISNUMBER(V116),Q116,"")</f>
        <v/>
      </c>
      <c r="AD116">
        <f>IF(ISNUMBER(W116),R116,"")</f>
        <v/>
      </c>
    </row>
    <row r="117">
      <c r="A117" t="inlineStr">
        <is>
          <t>S-649463</t>
        </is>
      </c>
      <c r="B117" t="inlineStr">
        <is>
          <t>Steve</t>
        </is>
      </c>
      <c r="C117" s="2" t="n">
        <v>46260.86584490741</v>
      </c>
      <c r="D117">
        <f>IF(C117="","",TEXT(C117,"dddd"))</f>
        <v/>
      </c>
      <c r="E117" s="3" t="n">
        <v>46260</v>
      </c>
      <c r="F117">
        <f>IF(E117="","",TEXT(E117,"dddd"))</f>
        <v/>
      </c>
      <c r="G117" t="inlineStr">
        <is>
          <t>7:15 PM</t>
        </is>
      </c>
      <c r="H117" t="inlineStr">
        <is>
          <t>N</t>
        </is>
      </c>
      <c r="I117" t="inlineStr"/>
      <c r="J117" t="inlineStr">
        <is>
          <t>MLB</t>
        </is>
      </c>
      <c r="K117" t="inlineStr">
        <is>
          <t>MLB</t>
        </is>
      </c>
      <c r="L117" t="inlineStr">
        <is>
          <t>ML</t>
        </is>
      </c>
      <c r="M117" t="inlineStr">
        <is>
          <t>Los Angeles Dodgers ML (live) vs Atlanta Braves</t>
        </is>
      </c>
      <c r="N117" t="n">
        <v>1</v>
      </c>
      <c r="O117" t="inlineStr">
        <is>
          <t>-105</t>
        </is>
      </c>
      <c r="P117" s="4" t="n">
        <v>1.9524</v>
      </c>
      <c r="Q117" s="5" t="n">
        <v>31000</v>
      </c>
      <c r="R117" t="inlineStr"/>
      <c r="S117" s="5" t="n">
        <v>60450</v>
      </c>
      <c r="T117" t="inlineStr">
        <is>
          <t>Gamdom</t>
        </is>
      </c>
      <c r="U117" t="inlineStr">
        <is>
          <t>L</t>
        </is>
      </c>
      <c r="V117" s="5">
        <f>IF(NOT(ISNUMBER(Q117)),"",IF(U117="W",IF(ISNUMBER(S117),S117-Q117,IF(ISNUMBER(P117),Q117*(P117-1),"")),IF(U117="L",-Q117,IF(U117="Push",0,""))))</f>
        <v/>
      </c>
      <c r="W117">
        <f>IF(NOT(ISNUMBER(R117)),"",IF(U117="W",IF(ISNUMBER(P117),R117*(P117-1),""),IF(U117="L",-R117,IF(U117="Push",0,""))))</f>
        <v/>
      </c>
      <c r="X117" t="inlineStr">
        <is>
          <t>graded from final</t>
        </is>
      </c>
      <c r="Y117" t="inlineStr">
        <is>
          <t>N</t>
        </is>
      </c>
      <c r="Z117" t="inlineStr">
        <is>
          <t>https://x.com/stevewilldoit/status/2092790908718649463</t>
        </is>
      </c>
      <c r="AA117" t="inlineStr">
        <is>
          <t>"Live dodger ml"</t>
        </is>
      </c>
      <c r="AB117" t="inlineStr">
        <is>
          <t>Single</t>
        </is>
      </c>
      <c r="AC117" s="5">
        <f>IF(ISNUMBER(V117),Q117,"")</f>
        <v/>
      </c>
      <c r="AD117">
        <f>IF(ISNUMBER(W117),R117,"")</f>
        <v/>
      </c>
    </row>
    <row r="118">
      <c r="A118" t="inlineStr">
        <is>
          <t>S-855422</t>
        </is>
      </c>
      <c r="B118" t="inlineStr">
        <is>
          <t>Steve</t>
        </is>
      </c>
      <c r="C118" s="2" t="n">
        <v>46261.49137731481</v>
      </c>
      <c r="D118">
        <f>IF(C118="","",TEXT(C118,"dddd"))</f>
        <v/>
      </c>
      <c r="E118" s="3" t="n">
        <v>46261</v>
      </c>
      <c r="F118">
        <f>IF(E118="","",TEXT(E118,"dddd"))</f>
        <v/>
      </c>
      <c r="G118" t="inlineStr">
        <is>
          <t>7:07 PM</t>
        </is>
      </c>
      <c r="H118" t="inlineStr">
        <is>
          <t>N</t>
        </is>
      </c>
      <c r="I118" t="inlineStr"/>
      <c r="J118" t="inlineStr">
        <is>
          <t>MLB</t>
        </is>
      </c>
      <c r="K118" t="inlineStr">
        <is>
          <t>MLB</t>
        </is>
      </c>
      <c r="L118" t="inlineStr">
        <is>
          <t>spread</t>
        </is>
      </c>
      <c r="M118" t="inlineStr">
        <is>
          <t>Kansas City Royals F5 handicap (0) vs Toronto</t>
        </is>
      </c>
      <c r="N118" t="n">
        <v>1</v>
      </c>
      <c r="O118" t="inlineStr">
        <is>
          <t>-125</t>
        </is>
      </c>
      <c r="P118" s="4" t="n">
        <v>1.8</v>
      </c>
      <c r="Q118" s="5" t="n">
        <v>50000</v>
      </c>
      <c r="R118" t="inlineStr"/>
      <c r="S118" s="5" t="n">
        <v>90000</v>
      </c>
      <c r="T118" t="inlineStr">
        <is>
          <t>Gamdom</t>
        </is>
      </c>
      <c r="U118" t="inlineStr">
        <is>
          <t>W</t>
        </is>
      </c>
      <c r="V118" s="5">
        <f>IF(NOT(ISNUMBER(Q118)),"",IF(U118="W",IF(ISNUMBER(S118),S118-Q118,IF(ISNUMBER(P118),Q118*(P118-1),"")),IF(U118="L",-Q118,IF(U118="Push",0,""))))</f>
        <v/>
      </c>
      <c r="W118">
        <f>IF(NOT(ISNUMBER(R118)),"",IF(U118="W",IF(ISNUMBER(P118),R118*(P118-1),""),IF(U118="L",-R118,IF(U118="Push",0,""))))</f>
        <v/>
      </c>
      <c r="X118" t="inlineStr">
        <is>
          <t>graded from final</t>
        </is>
      </c>
      <c r="Y118" t="inlineStr">
        <is>
          <t>Y - tags Gamdom</t>
        </is>
      </c>
      <c r="Z118" t="inlineStr">
        <is>
          <t>https://x.com/stevewilldoit/status/2093017595955855422</t>
        </is>
      </c>
      <c r="AA118" t="inlineStr">
        <is>
          <t>AI guy "KC F5 ML / No 1x2"</t>
        </is>
      </c>
      <c r="AB118" t="inlineStr">
        <is>
          <t>Single</t>
        </is>
      </c>
      <c r="AC118" s="5">
        <f>IF(ISNUMBER(V118),Q118,"")</f>
        <v/>
      </c>
      <c r="AD118">
        <f>IF(ISNUMBER(W118),R118,"")</f>
        <v/>
      </c>
    </row>
    <row r="119">
      <c r="A119" t="inlineStr">
        <is>
          <t>T-735303</t>
        </is>
      </c>
      <c r="B119" t="inlineStr">
        <is>
          <t>Trent</t>
        </is>
      </c>
      <c r="C119" s="2" t="n">
        <v>46261.61966435185</v>
      </c>
      <c r="D119">
        <f>IF(C119="","",TEXT(C119,"dddd"))</f>
        <v/>
      </c>
      <c r="E119" s="3" t="n">
        <v>46261</v>
      </c>
      <c r="F119">
        <f>IF(E119="","",TEXT(E119,"dddd"))</f>
        <v/>
      </c>
      <c r="G119" t="inlineStr">
        <is>
          <t>6:00 PM</t>
        </is>
      </c>
      <c r="H119" t="inlineStr">
        <is>
          <t>N</t>
        </is>
      </c>
      <c r="I119" t="inlineStr"/>
      <c r="J119" t="inlineStr">
        <is>
          <t>CFB</t>
        </is>
      </c>
      <c r="K119" t="inlineStr">
        <is>
          <t>FCS</t>
        </is>
      </c>
      <c r="L119" t="inlineStr">
        <is>
          <t>spread</t>
        </is>
      </c>
      <c r="M119" t="inlineStr">
        <is>
          <t>Youngstown State -29.5</t>
        </is>
      </c>
      <c r="N119" t="n">
        <v>1</v>
      </c>
      <c r="O119" t="inlineStr">
        <is>
          <t>not shown</t>
        </is>
      </c>
      <c r="P119" s="4" t="inlineStr"/>
      <c r="Q119" s="5" t="inlineStr"/>
      <c r="R119" t="n">
        <v>10</v>
      </c>
      <c r="S119" s="5" t="inlineStr"/>
      <c r="T119" t="inlineStr">
        <is>
          <t>not shown</t>
        </is>
      </c>
      <c r="U119" t="inlineStr">
        <is>
          <t>W</t>
        </is>
      </c>
      <c r="V119" s="5">
        <f>IF(NOT(ISNUMBER(Q119)),"",IF(U119="W",IF(ISNUMBER(S119),S119-Q119,IF(ISNUMBER(P119),Q119*(P119-1),"")),IF(U119="L",-Q119,IF(U119="Push",0,""))))</f>
        <v/>
      </c>
      <c r="W119">
        <f>IF(NOT(ISNUMBER(R119)),"",IF(U119="W",IF(ISNUMBER(P119),R119*(P119-1),""),IF(U119="L",-R119,IF(U119="Push",0,""))))</f>
        <v/>
      </c>
      <c r="X119" t="inlineStr">
        <is>
          <t>posted</t>
        </is>
      </c>
      <c r="Y119" t="inlineStr">
        <is>
          <t>N</t>
        </is>
      </c>
      <c r="Z119" t="inlineStr">
        <is>
          <t>https://x.com/BookitWithTrent/status/2093064085671735303</t>
        </is>
      </c>
      <c r="AA119" t="inlineStr">
        <is>
          <t>FCS Mortal Megas; recap 827873; earlier tweet mentioned -28.5</t>
        </is>
      </c>
      <c r="AB119" t="inlineStr">
        <is>
          <t>Single</t>
        </is>
      </c>
      <c r="AC119" s="5">
        <f>IF(ISNUMBER(V119),Q119,"")</f>
        <v/>
      </c>
      <c r="AD119">
        <f>IF(ISNUMBER(W119),R119,"")</f>
        <v/>
      </c>
    </row>
    <row r="120">
      <c r="A120" t="inlineStr">
        <is>
          <t>T-735303b</t>
        </is>
      </c>
      <c r="B120" t="inlineStr">
        <is>
          <t>Trent</t>
        </is>
      </c>
      <c r="C120" s="2" t="n">
        <v>46261.61966435185</v>
      </c>
      <c r="D120">
        <f>IF(C120="","",TEXT(C120,"dddd"))</f>
        <v/>
      </c>
      <c r="E120" s="3" t="n">
        <v>46261</v>
      </c>
      <c r="F120">
        <f>IF(E120="","",TEXT(E120,"dddd"))</f>
        <v/>
      </c>
      <c r="G120" t="inlineStr">
        <is>
          <t>7:00 PM</t>
        </is>
      </c>
      <c r="H120" t="inlineStr">
        <is>
          <t>Y</t>
        </is>
      </c>
      <c r="I120" t="inlineStr">
        <is>
          <t>CFB weeknight (Tue-Fri)</t>
        </is>
      </c>
      <c r="J120" t="inlineStr">
        <is>
          <t>CFB</t>
        </is>
      </c>
      <c r="K120" t="inlineStr">
        <is>
          <t>FCS</t>
        </is>
      </c>
      <c r="L120" t="inlineStr">
        <is>
          <t>spread</t>
        </is>
      </c>
      <c r="M120" t="inlineStr">
        <is>
          <t>Charleston Southern +7.5</t>
        </is>
      </c>
      <c r="N120" t="n">
        <v>1</v>
      </c>
      <c r="O120" t="inlineStr">
        <is>
          <t>not shown</t>
        </is>
      </c>
      <c r="P120" s="4" t="inlineStr"/>
      <c r="Q120" s="5" t="inlineStr"/>
      <c r="R120" t="n">
        <v>5</v>
      </c>
      <c r="S120" s="5" t="inlineStr"/>
      <c r="T120" t="inlineStr">
        <is>
          <t>not shown</t>
        </is>
      </c>
      <c r="U120" t="inlineStr">
        <is>
          <t>W</t>
        </is>
      </c>
      <c r="V120" s="5">
        <f>IF(NOT(ISNUMBER(Q120)),"",IF(U120="W",IF(ISNUMBER(S120),S120-Q120,IF(ISNUMBER(P120),Q120*(P120-1),"")),IF(U120="L",-Q120,IF(U120="Push",0,""))))</f>
        <v/>
      </c>
      <c r="W120">
        <f>IF(NOT(ISNUMBER(R120)),"",IF(U120="W",IF(ISNUMBER(P120),R120*(P120-1),""),IF(U120="L",-R120,IF(U120="Push",0,""))))</f>
        <v/>
      </c>
      <c r="X120" t="inlineStr">
        <is>
          <t>posted</t>
        </is>
      </c>
      <c r="Y120" t="inlineStr">
        <is>
          <t>N</t>
        </is>
      </c>
      <c r="Z120" t="inlineStr">
        <is>
          <t>https://x.com/BookitWithTrent/status/2093064085671735303</t>
        </is>
      </c>
      <c r="AA120" t="inlineStr">
        <is>
          <t>FCS card; recap 827873</t>
        </is>
      </c>
      <c r="AB120" t="inlineStr">
        <is>
          <t>Single</t>
        </is>
      </c>
      <c r="AC120" s="5">
        <f>IF(ISNUMBER(V120),Q120,"")</f>
        <v/>
      </c>
      <c r="AD120">
        <f>IF(ISNUMBER(W120),R120,"")</f>
        <v/>
      </c>
    </row>
    <row r="121">
      <c r="A121" t="inlineStr">
        <is>
          <t>T-735303c</t>
        </is>
      </c>
      <c r="B121" t="inlineStr">
        <is>
          <t>Trent</t>
        </is>
      </c>
      <c r="C121" s="2" t="n">
        <v>46261.61966435185</v>
      </c>
      <c r="D121">
        <f>IF(C121="","",TEXT(C121,"dddd"))</f>
        <v/>
      </c>
      <c r="E121" s="3" t="n">
        <v>46261</v>
      </c>
      <c r="F121">
        <f>IF(E121="","",TEXT(E121,"dddd"))</f>
        <v/>
      </c>
      <c r="G121" t="inlineStr">
        <is>
          <t>8:00 PM</t>
        </is>
      </c>
      <c r="H121" t="inlineStr">
        <is>
          <t>Y</t>
        </is>
      </c>
      <c r="I121" t="inlineStr">
        <is>
          <t>CFB weeknight (Tue-Fri)</t>
        </is>
      </c>
      <c r="J121" t="inlineStr">
        <is>
          <t>CFB</t>
        </is>
      </c>
      <c r="K121" t="inlineStr">
        <is>
          <t>FCS</t>
        </is>
      </c>
      <c r="L121" t="inlineStr">
        <is>
          <t>spread</t>
        </is>
      </c>
      <c r="M121" t="inlineStr">
        <is>
          <t>LIU +27.5</t>
        </is>
      </c>
      <c r="N121" t="n">
        <v>1</v>
      </c>
      <c r="O121" t="inlineStr">
        <is>
          <t>not shown</t>
        </is>
      </c>
      <c r="P121" s="4" t="inlineStr"/>
      <c r="Q121" s="5" t="inlineStr"/>
      <c r="R121" t="n">
        <v>5</v>
      </c>
      <c r="S121" s="5" t="inlineStr"/>
      <c r="T121" t="inlineStr">
        <is>
          <t>not shown</t>
        </is>
      </c>
      <c r="U121" t="inlineStr">
        <is>
          <t>W</t>
        </is>
      </c>
      <c r="V121" s="5">
        <f>IF(NOT(ISNUMBER(Q121)),"",IF(U121="W",IF(ISNUMBER(S121),S121-Q121,IF(ISNUMBER(P121),Q121*(P121-1),"")),IF(U121="L",-Q121,IF(U121="Push",0,""))))</f>
        <v/>
      </c>
      <c r="W121">
        <f>IF(NOT(ISNUMBER(R121)),"",IF(U121="W",IF(ISNUMBER(P121),R121*(P121-1),""),IF(U121="L",-R121,IF(U121="Push",0,""))))</f>
        <v/>
      </c>
      <c r="X121" t="inlineStr">
        <is>
          <t>posted</t>
        </is>
      </c>
      <c r="Y121" t="inlineStr">
        <is>
          <t>N</t>
        </is>
      </c>
      <c r="Z121" t="inlineStr">
        <is>
          <t>https://x.com/BookitWithTrent/status/2093064085671735303</t>
        </is>
      </c>
      <c r="AA121" t="inlineStr">
        <is>
          <t>FCS card; recap 827873</t>
        </is>
      </c>
      <c r="AB121" t="inlineStr">
        <is>
          <t>Single</t>
        </is>
      </c>
      <c r="AC121" s="5">
        <f>IF(ISNUMBER(V121),Q121,"")</f>
        <v/>
      </c>
      <c r="AD121">
        <f>IF(ISNUMBER(W121),R121,"")</f>
        <v/>
      </c>
    </row>
    <row r="122">
      <c r="A122" t="inlineStr">
        <is>
          <t>T-735303d</t>
        </is>
      </c>
      <c r="B122" t="inlineStr">
        <is>
          <t>Trent</t>
        </is>
      </c>
      <c r="C122" s="2" t="n">
        <v>46261.61966435185</v>
      </c>
      <c r="D122">
        <f>IF(C122="","",TEXT(C122,"dddd"))</f>
        <v/>
      </c>
      <c r="E122" s="3" t="n">
        <v>46261</v>
      </c>
      <c r="F122">
        <f>IF(E122="","",TEXT(E122,"dddd"))</f>
        <v/>
      </c>
      <c r="G122" t="inlineStr">
        <is>
          <t>not matched</t>
        </is>
      </c>
      <c r="H122" t="inlineStr">
        <is>
          <t>Unknown</t>
        </is>
      </c>
      <c r="I122" t="inlineStr">
        <is>
          <t>kickoff not matched</t>
        </is>
      </c>
      <c r="J122" t="inlineStr">
        <is>
          <t>CFB</t>
        </is>
      </c>
      <c r="K122" t="inlineStr">
        <is>
          <t>FCS</t>
        </is>
      </c>
      <c r="L122" t="inlineStr">
        <is>
          <t>spread</t>
        </is>
      </c>
      <c r="M122" t="inlineStr">
        <is>
          <t>Lafayette -9.5</t>
        </is>
      </c>
      <c r="N122" t="n">
        <v>1</v>
      </c>
      <c r="O122" t="inlineStr">
        <is>
          <t>not shown</t>
        </is>
      </c>
      <c r="P122" s="4" t="inlineStr"/>
      <c r="Q122" s="5" t="inlineStr"/>
      <c r="R122" t="n">
        <v>5</v>
      </c>
      <c r="S122" s="5" t="inlineStr"/>
      <c r="T122" t="inlineStr">
        <is>
          <t>not shown</t>
        </is>
      </c>
      <c r="U122" t="inlineStr">
        <is>
          <t>Unknown</t>
        </is>
      </c>
      <c r="V122" s="5">
        <f>IF(NOT(ISNUMBER(Q122)),"",IF(U122="W",IF(ISNUMBER(S122),S122-Q122,IF(ISNUMBER(P122),Q122*(P122-1),"")),IF(U122="L",-Q122,IF(U122="Push",0,""))))</f>
        <v/>
      </c>
      <c r="W122">
        <f>IF(NOT(ISNUMBER(R122)),"",IF(U122="W",IF(ISNUMBER(P122),R122*(P122-1),""),IF(U122="L",-R122,IF(U122="Push",0,""))))</f>
        <v/>
      </c>
      <c r="X122" t="inlineStr">
        <is>
          <t>unverified</t>
        </is>
      </c>
      <c r="Y122" t="inlineStr">
        <is>
          <t>N</t>
        </is>
      </c>
      <c r="Z122" t="inlineStr">
        <is>
          <t>https://x.com/BookitWithTrent/status/2093064085671735303</t>
        </is>
      </c>
      <c r="AA122" t="inlineStr">
        <is>
          <t>FCS card; omitted from recap</t>
        </is>
      </c>
      <c r="AB122" t="inlineStr">
        <is>
          <t>Single</t>
        </is>
      </c>
      <c r="AC122" s="5">
        <f>IF(ISNUMBER(V122),Q122,"")</f>
        <v/>
      </c>
      <c r="AD122">
        <f>IF(ISNUMBER(W122),R122,"")</f>
        <v/>
      </c>
    </row>
    <row r="123">
      <c r="A123" t="inlineStr">
        <is>
          <t>T-624598</t>
        </is>
      </c>
      <c r="B123" t="inlineStr">
        <is>
          <t>Trent</t>
        </is>
      </c>
      <c r="C123" s="2" t="n">
        <v>46261.62210648148</v>
      </c>
      <c r="D123">
        <f>IF(C123="","",TEXT(C123,"dddd"))</f>
        <v/>
      </c>
      <c r="E123" s="3" t="n">
        <v>46261</v>
      </c>
      <c r="F123">
        <f>IF(E123="","",TEXT(E123,"dddd"))</f>
        <v/>
      </c>
      <c r="G123" t="inlineStr">
        <is>
          <t>not matched</t>
        </is>
      </c>
      <c r="H123" t="inlineStr">
        <is>
          <t>N</t>
        </is>
      </c>
      <c r="I123" t="inlineStr"/>
      <c r="J123" t="inlineStr">
        <is>
          <t>MLB</t>
        </is>
      </c>
      <c r="K123" t="inlineStr">
        <is>
          <t>MLB</t>
        </is>
      </c>
      <c r="L123" t="inlineStr">
        <is>
          <t>PrizePicks/DFS</t>
        </is>
      </c>
      <c r="M123" t="inlineStr">
        <is>
          <t>Vladimir Guerrero Jr. o1.5 H+R+RBI; Jacob Misiorowski o8.5 K; Chris Sale u1.5 ER; Rafael Devers o6 HFS</t>
        </is>
      </c>
      <c r="N123" t="n">
        <v>4</v>
      </c>
      <c r="O123" t="inlineStr">
        <is>
          <t>not shown</t>
        </is>
      </c>
      <c r="P123" s="4" t="n">
        <v>10</v>
      </c>
      <c r="Q123" s="5" t="n">
        <v>500</v>
      </c>
      <c r="R123" t="inlineStr"/>
      <c r="S123" s="5" t="n">
        <v>5000</v>
      </c>
      <c r="T123" t="inlineStr">
        <is>
          <t>PrizePicks</t>
        </is>
      </c>
      <c r="U123" t="inlineStr">
        <is>
          <t>L</t>
        </is>
      </c>
      <c r="V123" s="5">
        <f>IF(NOT(ISNUMBER(Q123)),"",IF(U123="W",IF(ISNUMBER(S123),S123-Q123,IF(ISNUMBER(P123),Q123*(P123-1),"")),IF(U123="L",-Q123,IF(U123="Push",0,""))))</f>
        <v/>
      </c>
      <c r="W123">
        <f>IF(NOT(ISNUMBER(R123)),"",IF(U123="W",IF(ISNUMBER(P123),R123*(P123-1),""),IF(U123="L",-R123,IF(U123="Push",0,""))))</f>
        <v/>
      </c>
      <c r="X123" t="inlineStr">
        <is>
          <t>graded from final</t>
        </is>
      </c>
      <c r="Y123" t="inlineStr">
        <is>
          <t>N</t>
        </is>
      </c>
      <c r="Z123" t="inlineStr">
        <is>
          <t>https://x.com/BookitWithTrent/status/2093064969931624598</t>
        </is>
      </c>
      <c r="AA123" t="inlineStr">
        <is>
          <t>"MLB Supergoat lineup (10x)"; Final: Vlad Jr 0 H+R+RBI; Decimal odds derived from payout/stake</t>
        </is>
      </c>
      <c r="AB123" t="inlineStr">
        <is>
          <t>Parlay/multi-leg</t>
        </is>
      </c>
      <c r="AC123" s="5">
        <f>IF(ISNUMBER(V123),Q123,"")</f>
        <v/>
      </c>
      <c r="AD123">
        <f>IF(ISNUMBER(W123),R123,"")</f>
        <v/>
      </c>
    </row>
    <row r="124">
      <c r="A124" t="inlineStr">
        <is>
          <t>S-744845</t>
        </is>
      </c>
      <c r="B124" t="inlineStr">
        <is>
          <t>Steve</t>
        </is>
      </c>
      <c r="C124" s="2" t="n">
        <v>46261.62416666667</v>
      </c>
      <c r="D124">
        <f>IF(C124="","",TEXT(C124,"dddd"))</f>
        <v/>
      </c>
      <c r="E124" s="3" t="n">
        <v>46261</v>
      </c>
      <c r="F124">
        <f>IF(E124="","",TEXT(E124,"dddd"))</f>
        <v/>
      </c>
      <c r="G124" t="inlineStr">
        <is>
          <t>7:15 PM</t>
        </is>
      </c>
      <c r="H124" t="inlineStr">
        <is>
          <t>N</t>
        </is>
      </c>
      <c r="I124" t="inlineStr"/>
      <c r="J124" t="inlineStr">
        <is>
          <t>MLB</t>
        </is>
      </c>
      <c r="K124" t="inlineStr">
        <is>
          <t>MLB</t>
        </is>
      </c>
      <c r="L124" t="inlineStr">
        <is>
          <t>ML</t>
        </is>
      </c>
      <c r="M124" t="inlineStr">
        <is>
          <t>Los Angeles Dodgers ML vs Atlanta Braves</t>
        </is>
      </c>
      <c r="N124" t="n">
        <v>1</v>
      </c>
      <c r="O124" t="inlineStr">
        <is>
          <t>+111</t>
        </is>
      </c>
      <c r="P124" s="4" t="n">
        <v>2.11</v>
      </c>
      <c r="Q124" s="5" t="n">
        <v>80000</v>
      </c>
      <c r="R124" t="inlineStr"/>
      <c r="S124" s="5" t="n">
        <v>168800</v>
      </c>
      <c r="T124" t="inlineStr">
        <is>
          <t>Gamdom</t>
        </is>
      </c>
      <c r="U124" t="inlineStr">
        <is>
          <t>L</t>
        </is>
      </c>
      <c r="V124" s="5">
        <f>IF(NOT(ISNUMBER(Q124)),"",IF(U124="W",IF(ISNUMBER(S124),S124-Q124,IF(ISNUMBER(P124),Q124*(P124-1),"")),IF(U124="L",-Q124,IF(U124="Push",0,""))))</f>
        <v/>
      </c>
      <c r="W124">
        <f>IF(NOT(ISNUMBER(R124)),"",IF(U124="W",IF(ISNUMBER(P124),R124*(P124-1),""),IF(U124="L",-R124,IF(U124="Push",0,""))))</f>
        <v/>
      </c>
      <c r="X124" t="inlineStr">
        <is>
          <t>graded from final</t>
        </is>
      </c>
      <c r="Y124" t="inlineStr">
        <is>
          <t>Y - tags Gamdom</t>
        </is>
      </c>
      <c r="Z124" t="inlineStr">
        <is>
          <t>https://x.com/stevewilldoit/status/2093065715351744845</t>
        </is>
      </c>
      <c r="AA124" t="inlineStr">
        <is>
          <t>6ix9ine pick ("NUKE THE DODGERS")</t>
        </is>
      </c>
      <c r="AB124" t="inlineStr">
        <is>
          <t>Single</t>
        </is>
      </c>
      <c r="AC124" s="5">
        <f>IF(ISNUMBER(V124),Q124,"")</f>
        <v/>
      </c>
      <c r="AD124">
        <f>IF(ISNUMBER(W124),R124,"")</f>
        <v/>
      </c>
    </row>
    <row r="125">
      <c r="A125" t="inlineStr">
        <is>
          <t>T-521653</t>
        </is>
      </c>
      <c r="B125" t="inlineStr">
        <is>
          <t>Trent</t>
        </is>
      </c>
      <c r="C125" s="2" t="n">
        <v>46261.6725</v>
      </c>
      <c r="D125">
        <f>IF(C125="","",TEXT(C125,"dddd"))</f>
        <v/>
      </c>
      <c r="E125" s="3" t="n">
        <v>46261</v>
      </c>
      <c r="F125">
        <f>IF(E125="","",TEXT(E125,"dddd"))</f>
        <v/>
      </c>
      <c r="G125" t="inlineStr">
        <is>
          <t>7:15 PM</t>
        </is>
      </c>
      <c r="H125" t="inlineStr">
        <is>
          <t>N</t>
        </is>
      </c>
      <c r="I125" t="inlineStr"/>
      <c r="J125" t="inlineStr">
        <is>
          <t>MLB</t>
        </is>
      </c>
      <c r="K125" t="inlineStr">
        <is>
          <t>MLB</t>
        </is>
      </c>
      <c r="L125" t="inlineStr">
        <is>
          <t>total</t>
        </is>
      </c>
      <c r="M125" t="inlineStr">
        <is>
          <t>Dodgers/Braves Under 6.5</t>
        </is>
      </c>
      <c r="N125" t="n">
        <v>1</v>
      </c>
      <c r="O125" t="inlineStr">
        <is>
          <t>-110</t>
        </is>
      </c>
      <c r="P125" s="4" t="n">
        <v>1.9091</v>
      </c>
      <c r="Q125" s="5" t="inlineStr"/>
      <c r="R125" t="inlineStr"/>
      <c r="S125" s="5" t="inlineStr"/>
      <c r="T125" t="inlineStr">
        <is>
          <t>not shown</t>
        </is>
      </c>
      <c r="U125" t="inlineStr">
        <is>
          <t>W</t>
        </is>
      </c>
      <c r="V125" s="5">
        <f>IF(NOT(ISNUMBER(Q125)),"",IF(U125="W",IF(ISNUMBER(S125),S125-Q125,IF(ISNUMBER(P125),Q125*(P125-1),"")),IF(U125="L",-Q125,IF(U125="Push",0,""))))</f>
        <v/>
      </c>
      <c r="W125">
        <f>IF(NOT(ISNUMBER(R125)),"",IF(U125="W",IF(ISNUMBER(P125),R125*(P125-1),""),IF(U125="L",-R125,IF(U125="Push",0,""))))</f>
        <v/>
      </c>
      <c r="X125" t="inlineStr">
        <is>
          <t>posted</t>
        </is>
      </c>
      <c r="Y125" t="inlineStr">
        <is>
          <t>N</t>
        </is>
      </c>
      <c r="Z125" t="inlineStr">
        <is>
          <t>https://x.com/BookitWithTrent/status/2093083232908521653</t>
        </is>
      </c>
      <c r="AA125" t="inlineStr">
        <is>
          <t>MLB Megas; recap 827873</t>
        </is>
      </c>
      <c r="AB125" t="inlineStr">
        <is>
          <t>Single</t>
        </is>
      </c>
      <c r="AC125" s="5">
        <f>IF(ISNUMBER(V125),Q125,"")</f>
        <v/>
      </c>
      <c r="AD125">
        <f>IF(ISNUMBER(W125),R125,"")</f>
        <v/>
      </c>
    </row>
    <row r="126">
      <c r="A126" t="inlineStr">
        <is>
          <t>T-521653b</t>
        </is>
      </c>
      <c r="B126" t="inlineStr">
        <is>
          <t>Trent</t>
        </is>
      </c>
      <c r="C126" s="2" t="n">
        <v>46261.6725</v>
      </c>
      <c r="D126">
        <f>IF(C126="","",TEXT(C126,"dddd"))</f>
        <v/>
      </c>
      <c r="E126" s="3" t="n">
        <v>46261</v>
      </c>
      <c r="F126">
        <f>IF(E126="","",TEXT(E126,"dddd"))</f>
        <v/>
      </c>
      <c r="G126" t="inlineStr">
        <is>
          <t>7:10 PM</t>
        </is>
      </c>
      <c r="H126" t="inlineStr">
        <is>
          <t>N</t>
        </is>
      </c>
      <c r="I126" t="inlineStr"/>
      <c r="J126" t="inlineStr">
        <is>
          <t>MLB</t>
        </is>
      </c>
      <c r="K126" t="inlineStr">
        <is>
          <t>MLB</t>
        </is>
      </c>
      <c r="L126" t="inlineStr">
        <is>
          <t>spread</t>
        </is>
      </c>
      <c r="M126" t="inlineStr">
        <is>
          <t>Brewers -1.5</t>
        </is>
      </c>
      <c r="N126" t="n">
        <v>1</v>
      </c>
      <c r="O126" t="inlineStr">
        <is>
          <t>-105</t>
        </is>
      </c>
      <c r="P126" s="4" t="n">
        <v>1.9524</v>
      </c>
      <c r="Q126" s="5" t="inlineStr"/>
      <c r="R126" t="inlineStr"/>
      <c r="S126" s="5" t="inlineStr"/>
      <c r="T126" t="inlineStr">
        <is>
          <t>not shown</t>
        </is>
      </c>
      <c r="U126" t="inlineStr">
        <is>
          <t>W</t>
        </is>
      </c>
      <c r="V126" s="5">
        <f>IF(NOT(ISNUMBER(Q126)),"",IF(U126="W",IF(ISNUMBER(S126),S126-Q126,IF(ISNUMBER(P126),Q126*(P126-1),"")),IF(U126="L",-Q126,IF(U126="Push",0,""))))</f>
        <v/>
      </c>
      <c r="W126">
        <f>IF(NOT(ISNUMBER(R126)),"",IF(U126="W",IF(ISNUMBER(P126),R126*(P126-1),""),IF(U126="L",-R126,IF(U126="Push",0,""))))</f>
        <v/>
      </c>
      <c r="X126" t="inlineStr">
        <is>
          <t>posted</t>
        </is>
      </c>
      <c r="Y126" t="inlineStr">
        <is>
          <t>N</t>
        </is>
      </c>
      <c r="Z126" t="inlineStr">
        <is>
          <t>https://x.com/BookitWithTrent/status/2093083232908521653</t>
        </is>
      </c>
      <c r="AA126" t="inlineStr">
        <is>
          <t>MLB Megas; recap 827873</t>
        </is>
      </c>
      <c r="AB126" t="inlineStr">
        <is>
          <t>Single</t>
        </is>
      </c>
      <c r="AC126" s="5">
        <f>IF(ISNUMBER(V126),Q126,"")</f>
        <v/>
      </c>
      <c r="AD126">
        <f>IF(ISNUMBER(W126),R126,"")</f>
        <v/>
      </c>
    </row>
    <row r="127">
      <c r="A127" t="inlineStr">
        <is>
          <t>T-521653c</t>
        </is>
      </c>
      <c r="B127" t="inlineStr">
        <is>
          <t>Trent</t>
        </is>
      </c>
      <c r="C127" s="2" t="n">
        <v>46261.6725</v>
      </c>
      <c r="D127">
        <f>IF(C127="","",TEXT(C127,"dddd"))</f>
        <v/>
      </c>
      <c r="E127" s="3" t="n">
        <v>46261</v>
      </c>
      <c r="F127">
        <f>IF(E127="","",TEXT(E127,"dddd"))</f>
        <v/>
      </c>
      <c r="G127" t="inlineStr">
        <is>
          <t>9:45 PM</t>
        </is>
      </c>
      <c r="H127" t="inlineStr">
        <is>
          <t>N</t>
        </is>
      </c>
      <c r="I127" t="inlineStr"/>
      <c r="J127" t="inlineStr">
        <is>
          <t>MLB</t>
        </is>
      </c>
      <c r="K127" t="inlineStr">
        <is>
          <t>MLB</t>
        </is>
      </c>
      <c r="L127" t="inlineStr">
        <is>
          <t>ML</t>
        </is>
      </c>
      <c r="M127" t="inlineStr">
        <is>
          <t>Giants ML</t>
        </is>
      </c>
      <c r="N127" t="n">
        <v>1</v>
      </c>
      <c r="O127" t="inlineStr">
        <is>
          <t>-110</t>
        </is>
      </c>
      <c r="P127" s="4" t="n">
        <v>1.9091</v>
      </c>
      <c r="Q127" s="5" t="inlineStr"/>
      <c r="R127" t="inlineStr"/>
      <c r="S127" s="5" t="inlineStr"/>
      <c r="T127" t="inlineStr">
        <is>
          <t>not shown</t>
        </is>
      </c>
      <c r="U127" t="inlineStr">
        <is>
          <t>W</t>
        </is>
      </c>
      <c r="V127" s="5">
        <f>IF(NOT(ISNUMBER(Q127)),"",IF(U127="W",IF(ISNUMBER(S127),S127-Q127,IF(ISNUMBER(P127),Q127*(P127-1),"")),IF(U127="L",-Q127,IF(U127="Push",0,""))))</f>
        <v/>
      </c>
      <c r="W127">
        <f>IF(NOT(ISNUMBER(R127)),"",IF(U127="W",IF(ISNUMBER(P127),R127*(P127-1),""),IF(U127="L",-R127,IF(U127="Push",0,""))))</f>
        <v/>
      </c>
      <c r="X127" t="inlineStr">
        <is>
          <t>posted</t>
        </is>
      </c>
      <c r="Y127" t="inlineStr">
        <is>
          <t>N</t>
        </is>
      </c>
      <c r="Z127" t="inlineStr">
        <is>
          <t>https://x.com/BookitWithTrent/status/2093083232908521653</t>
        </is>
      </c>
      <c r="AA127" t="inlineStr">
        <is>
          <t>MLB Megas; recap 827873</t>
        </is>
      </c>
      <c r="AB127" t="inlineStr">
        <is>
          <t>Single</t>
        </is>
      </c>
      <c r="AC127" s="5">
        <f>IF(ISNUMBER(V127),Q127,"")</f>
        <v/>
      </c>
      <c r="AD127">
        <f>IF(ISNUMBER(W127),R127,"")</f>
        <v/>
      </c>
    </row>
    <row r="128">
      <c r="A128" t="inlineStr">
        <is>
          <t>S-998033</t>
        </is>
      </c>
      <c r="B128" t="inlineStr">
        <is>
          <t>Steve</t>
        </is>
      </c>
      <c r="C128" s="2" t="n">
        <v>46261.86609953704</v>
      </c>
      <c r="D128">
        <f>IF(C128="","",TEXT(C128,"dddd"))</f>
        <v/>
      </c>
      <c r="E128" s="3" t="n">
        <v>46261</v>
      </c>
      <c r="F128">
        <f>IF(E128="","",TEXT(E128,"dddd"))</f>
        <v/>
      </c>
      <c r="G128" t="inlineStr">
        <is>
          <t>9:45 PM</t>
        </is>
      </c>
      <c r="H128" t="inlineStr">
        <is>
          <t>N</t>
        </is>
      </c>
      <c r="I128" t="inlineStr"/>
      <c r="J128" t="inlineStr">
        <is>
          <t>MLB</t>
        </is>
      </c>
      <c r="K128" t="inlineStr">
        <is>
          <t>MLB</t>
        </is>
      </c>
      <c r="L128" t="inlineStr">
        <is>
          <t>total</t>
        </is>
      </c>
      <c r="M128" t="inlineStr">
        <is>
          <t>Giants vs Diamondbacks Over 7.5 (live)</t>
        </is>
      </c>
      <c r="N128" t="n">
        <v>1</v>
      </c>
      <c r="O128" t="inlineStr">
        <is>
          <t>-139</t>
        </is>
      </c>
      <c r="P128" s="4" t="n">
        <v>1.7194</v>
      </c>
      <c r="Q128" s="5" t="n">
        <v>39752</v>
      </c>
      <c r="R128" t="inlineStr"/>
      <c r="S128" s="5" t="n">
        <v>68373.44</v>
      </c>
      <c r="T128" t="inlineStr">
        <is>
          <t>Gamdom</t>
        </is>
      </c>
      <c r="U128" t="inlineStr">
        <is>
          <t>L</t>
        </is>
      </c>
      <c r="V128" s="5">
        <f>IF(NOT(ISNUMBER(Q128)),"",IF(U128="W",IF(ISNUMBER(S128),S128-Q128,IF(ISNUMBER(P128),Q128*(P128-1),"")),IF(U128="L",-Q128,IF(U128="Push",0,""))))</f>
        <v/>
      </c>
      <c r="W128">
        <f>IF(NOT(ISNUMBER(R128)),"",IF(U128="W",IF(ISNUMBER(P128),R128*(P128-1),""),IF(U128="L",-R128,IF(U128="Push",0,""))))</f>
        <v/>
      </c>
      <c r="X128" t="inlineStr">
        <is>
          <t>graded from final</t>
        </is>
      </c>
      <c r="Y128" t="inlineStr">
        <is>
          <t>N</t>
        </is>
      </c>
      <c r="Z128" t="inlineStr">
        <is>
          <t>https://x.com/stevewilldoit/status/2093153387004998033</t>
        </is>
      </c>
      <c r="AA128" t="inlineStr">
        <is>
          <t>"to recover a bit"</t>
        </is>
      </c>
      <c r="AB128" t="inlineStr">
        <is>
          <t>Single</t>
        </is>
      </c>
      <c r="AC128" s="5">
        <f>IF(ISNUMBER(V128),Q128,"")</f>
        <v/>
      </c>
      <c r="AD128">
        <f>IF(ISNUMBER(W128),R128,"")</f>
        <v/>
      </c>
    </row>
    <row r="129">
      <c r="A129" t="inlineStr">
        <is>
          <t>S-998033b</t>
        </is>
      </c>
      <c r="B129" t="inlineStr">
        <is>
          <t>Steve</t>
        </is>
      </c>
      <c r="C129" s="2" t="n">
        <v>46261.86609953704</v>
      </c>
      <c r="D129">
        <f>IF(C129="","",TEXT(C129,"dddd"))</f>
        <v/>
      </c>
      <c r="E129" s="3" t="n">
        <v>46261</v>
      </c>
      <c r="F129">
        <f>IF(E129="","",TEXT(E129,"dddd"))</f>
        <v/>
      </c>
      <c r="G129" t="inlineStr">
        <is>
          <t>9:45 PM</t>
        </is>
      </c>
      <c r="H129" t="inlineStr">
        <is>
          <t>N</t>
        </is>
      </c>
      <c r="I129" t="inlineStr"/>
      <c r="J129" t="inlineStr">
        <is>
          <t>MLB</t>
        </is>
      </c>
      <c r="K129" t="inlineStr">
        <is>
          <t>MLB</t>
        </is>
      </c>
      <c r="L129" t="inlineStr">
        <is>
          <t>ML</t>
        </is>
      </c>
      <c r="M129" t="inlineStr">
        <is>
          <t>Arizona Diamondbacks ML vs SF Giants</t>
        </is>
      </c>
      <c r="N129" t="n">
        <v>1</v>
      </c>
      <c r="O129" t="inlineStr">
        <is>
          <t>-118</t>
        </is>
      </c>
      <c r="P129" s="4" t="n">
        <v>1.8475</v>
      </c>
      <c r="Q129" s="5" t="n">
        <v>40000</v>
      </c>
      <c r="R129" t="inlineStr"/>
      <c r="S129" s="5" t="n">
        <v>74000</v>
      </c>
      <c r="T129" t="inlineStr">
        <is>
          <t>Gamdom</t>
        </is>
      </c>
      <c r="U129" t="inlineStr">
        <is>
          <t>L</t>
        </is>
      </c>
      <c r="V129" s="5">
        <f>IF(NOT(ISNUMBER(Q129)),"",IF(U129="W",IF(ISNUMBER(S129),S129-Q129,IF(ISNUMBER(P129),Q129*(P129-1),"")),IF(U129="L",-Q129,IF(U129="Push",0,""))))</f>
        <v/>
      </c>
      <c r="W129">
        <f>IF(NOT(ISNUMBER(R129)),"",IF(U129="W",IF(ISNUMBER(P129),R129*(P129-1),""),IF(U129="L",-R129,IF(U129="Push",0,""))))</f>
        <v/>
      </c>
      <c r="X129" t="inlineStr">
        <is>
          <t>graded from final</t>
        </is>
      </c>
      <c r="Y129" t="inlineStr">
        <is>
          <t>N</t>
        </is>
      </c>
      <c r="Z129" t="inlineStr">
        <is>
          <t>https://x.com/stevewilldoit/status/2093153387004998033</t>
        </is>
      </c>
      <c r="AA129" t="inlineStr">
        <is>
          <t>6ix9ine took Arizona</t>
        </is>
      </c>
      <c r="AB129" t="inlineStr">
        <is>
          <t>Single</t>
        </is>
      </c>
      <c r="AC129" s="5">
        <f>IF(ISNUMBER(V129),Q129,"")</f>
        <v/>
      </c>
      <c r="AD129">
        <f>IF(ISNUMBER(W129),R129,"")</f>
        <v/>
      </c>
    </row>
    <row r="130">
      <c r="A130" t="inlineStr">
        <is>
          <t>S-318407</t>
        </is>
      </c>
      <c r="B130" t="inlineStr">
        <is>
          <t>Steve</t>
        </is>
      </c>
      <c r="C130" s="2" t="n">
        <v>46262.55123842593</v>
      </c>
      <c r="D130">
        <f>IF(C130="","",TEXT(C130,"dddd"))</f>
        <v/>
      </c>
      <c r="E130" s="3" t="n">
        <v>46262</v>
      </c>
      <c r="F130">
        <f>IF(E130="","",TEXT(E130,"dddd"))</f>
        <v/>
      </c>
      <c r="G130" t="inlineStr">
        <is>
          <t>2:20 PM</t>
        </is>
      </c>
      <c r="H130" t="inlineStr">
        <is>
          <t>N</t>
        </is>
      </c>
      <c r="I130" t="inlineStr"/>
      <c r="J130" t="inlineStr">
        <is>
          <t>MLB</t>
        </is>
      </c>
      <c r="K130" t="inlineStr">
        <is>
          <t>MLB</t>
        </is>
      </c>
      <c r="L130" t="inlineStr">
        <is>
          <t>spread</t>
        </is>
      </c>
      <c r="M130" t="inlineStr">
        <is>
          <t>Cincinnati Reds +1.5 vs Chicago Cubs</t>
        </is>
      </c>
      <c r="N130" t="n">
        <v>1</v>
      </c>
      <c r="O130" t="inlineStr">
        <is>
          <t>-116</t>
        </is>
      </c>
      <c r="P130" s="4" t="n">
        <v>1.8621</v>
      </c>
      <c r="Q130" s="5" t="n">
        <v>50000</v>
      </c>
      <c r="R130" t="inlineStr"/>
      <c r="S130" s="5" t="n">
        <v>93000</v>
      </c>
      <c r="T130" t="inlineStr">
        <is>
          <t>Gamdom</t>
        </is>
      </c>
      <c r="U130" t="inlineStr">
        <is>
          <t>W</t>
        </is>
      </c>
      <c r="V130" s="5">
        <f>IF(NOT(ISNUMBER(Q130)),"",IF(U130="W",IF(ISNUMBER(S130),S130-Q130,IF(ISNUMBER(P130),Q130*(P130-1),"")),IF(U130="L",-Q130,IF(U130="Push",0,""))))</f>
        <v/>
      </c>
      <c r="W130">
        <f>IF(NOT(ISNUMBER(R130)),"",IF(U130="W",IF(ISNUMBER(P130),R130*(P130-1),""),IF(U130="L",-R130,IF(U130="Push",0,""))))</f>
        <v/>
      </c>
      <c r="X130" t="inlineStr">
        <is>
          <t>graded from final</t>
        </is>
      </c>
      <c r="Y130" t="inlineStr">
        <is>
          <t>Y - tags Gamdom</t>
        </is>
      </c>
      <c r="Z130" t="inlineStr">
        <is>
          <t>https://x.com/stevewilldoit/status/2093401676191318407</t>
        </is>
      </c>
      <c r="AA130" t="inlineStr">
        <is>
          <t>AI guy "Reds +1.5"</t>
        </is>
      </c>
      <c r="AB130" t="inlineStr">
        <is>
          <t>Single</t>
        </is>
      </c>
      <c r="AC130" s="5">
        <f>IF(ISNUMBER(V130),Q130,"")</f>
        <v/>
      </c>
      <c r="AD130">
        <f>IF(ISNUMBER(W130),R130,"")</f>
        <v/>
      </c>
    </row>
    <row r="131">
      <c r="A131" t="inlineStr">
        <is>
          <t>S-318407b</t>
        </is>
      </c>
      <c r="B131" t="inlineStr">
        <is>
          <t>Steve</t>
        </is>
      </c>
      <c r="C131" s="2" t="n">
        <v>46262.55123842593</v>
      </c>
      <c r="D131">
        <f>IF(C131="","",TEXT(C131,"dddd"))</f>
        <v/>
      </c>
      <c r="E131" s="3" t="n">
        <v>46262</v>
      </c>
      <c r="F131">
        <f>IF(E131="","",TEXT(E131,"dddd"))</f>
        <v/>
      </c>
      <c r="G131" t="inlineStr">
        <is>
          <t>2:20 PM</t>
        </is>
      </c>
      <c r="H131" t="inlineStr">
        <is>
          <t>N</t>
        </is>
      </c>
      <c r="I131" t="inlineStr"/>
      <c r="J131" t="inlineStr">
        <is>
          <t>MLB</t>
        </is>
      </c>
      <c r="K131" t="inlineStr">
        <is>
          <t>MLB</t>
        </is>
      </c>
      <c r="L131" t="inlineStr">
        <is>
          <t>spread</t>
        </is>
      </c>
      <c r="M131" t="inlineStr">
        <is>
          <t>Cincinnati Reds +2.5 vs Chicago Cubs</t>
        </is>
      </c>
      <c r="N131" t="n">
        <v>1</v>
      </c>
      <c r="O131" t="inlineStr">
        <is>
          <t>-175</t>
        </is>
      </c>
      <c r="P131" s="4" t="n">
        <v>1.5714</v>
      </c>
      <c r="Q131" s="5" t="n">
        <v>50000</v>
      </c>
      <c r="R131" t="inlineStr"/>
      <c r="S131" s="5" t="n">
        <v>78500</v>
      </c>
      <c r="T131" t="inlineStr">
        <is>
          <t>Gamdom</t>
        </is>
      </c>
      <c r="U131" t="inlineStr">
        <is>
          <t>W</t>
        </is>
      </c>
      <c r="V131" s="5">
        <f>IF(NOT(ISNUMBER(Q131)),"",IF(U131="W",IF(ISNUMBER(S131),S131-Q131,IF(ISNUMBER(P131),Q131*(P131-1),"")),IF(U131="L",-Q131,IF(U131="Push",0,""))))</f>
        <v/>
      </c>
      <c r="W131">
        <f>IF(NOT(ISNUMBER(R131)),"",IF(U131="W",IF(ISNUMBER(P131),R131*(P131-1),""),IF(U131="L",-R131,IF(U131="Push",0,""))))</f>
        <v/>
      </c>
      <c r="X131" t="inlineStr">
        <is>
          <t>graded from final</t>
        </is>
      </c>
      <c r="Y131" t="inlineStr">
        <is>
          <t>Y - tags Gamdom</t>
        </is>
      </c>
      <c r="Z131" t="inlineStr">
        <is>
          <t>https://x.com/stevewilldoit/status/2093401676191318407</t>
        </is>
      </c>
      <c r="AA131" t="inlineStr"/>
      <c r="AB131" t="inlineStr">
        <is>
          <t>Single</t>
        </is>
      </c>
      <c r="AC131" s="5">
        <f>IF(ISNUMBER(V131),Q131,"")</f>
        <v/>
      </c>
      <c r="AD131">
        <f>IF(ISNUMBER(W131),R131,"")</f>
        <v/>
      </c>
    </row>
    <row r="132">
      <c r="A132" t="inlineStr">
        <is>
          <t>T-076123</t>
        </is>
      </c>
      <c r="B132" t="inlineStr">
        <is>
          <t>Trent</t>
        </is>
      </c>
      <c r="C132" s="2" t="n">
        <v>46262.64454861111</v>
      </c>
      <c r="D132">
        <f>IF(C132="","",TEXT(C132,"dddd"))</f>
        <v/>
      </c>
      <c r="E132" s="3" t="n">
        <v>46262</v>
      </c>
      <c r="F132">
        <f>IF(E132="","",TEXT(E132,"dddd"))</f>
        <v/>
      </c>
      <c r="G132" t="inlineStr">
        <is>
          <t>not matched</t>
        </is>
      </c>
      <c r="H132" t="inlineStr">
        <is>
          <t>Unknown</t>
        </is>
      </c>
      <c r="I132" t="inlineStr">
        <is>
          <t>kickoff not matched</t>
        </is>
      </c>
      <c r="J132" t="inlineStr">
        <is>
          <t>CFB</t>
        </is>
      </c>
      <c r="K132" t="inlineStr">
        <is>
          <t>CFB</t>
        </is>
      </c>
      <c r="L132" t="inlineStr">
        <is>
          <t>PrizePicks/DFS</t>
        </is>
      </c>
      <c r="M132" t="inlineStr">
        <is>
          <t>TCU -9.5 vs UNC; Billy Edwards Jr. u36.5 longest completion; Billy Edwards Jr. u170.5 pass yds; Jeremy Payne o0.5 TD; Jeremy Payne o78.5 rush yds</t>
        </is>
      </c>
      <c r="N132" t="n">
        <v>5</v>
      </c>
      <c r="O132" t="inlineStr">
        <is>
          <t>not shown</t>
        </is>
      </c>
      <c r="P132" s="4" t="n">
        <v>11</v>
      </c>
      <c r="Q132" s="5" t="n">
        <v>500</v>
      </c>
      <c r="R132" t="inlineStr"/>
      <c r="S132" s="5" t="n">
        <v>5500</v>
      </c>
      <c r="T132" t="inlineStr">
        <is>
          <t>PrizePicks</t>
        </is>
      </c>
      <c r="U132" t="inlineStr">
        <is>
          <t>L</t>
        </is>
      </c>
      <c r="V132" s="5">
        <f>IF(NOT(ISNUMBER(Q132)),"",IF(U132="W",IF(ISNUMBER(S132),S132-Q132,IF(ISNUMBER(P132),Q132*(P132-1),"")),IF(U132="L",-Q132,IF(U132="Push",0,""))))</f>
        <v/>
      </c>
      <c r="W132">
        <f>IF(NOT(ISNUMBER(R132)),"",IF(U132="W",IF(ISNUMBER(P132),R132*(P132-1),""),IF(U132="L",-R132,IF(U132="Push",0,""))))</f>
        <v/>
      </c>
      <c r="X132" t="inlineStr">
        <is>
          <t>graded from final</t>
        </is>
      </c>
      <c r="Y132" t="inlineStr">
        <is>
          <t>N</t>
        </is>
      </c>
      <c r="Z132" t="inlineStr">
        <is>
          <t>https://x.com/BookitWithTrent/status/2093435490322076123</t>
        </is>
      </c>
      <c r="AA132" t="inlineStr">
        <is>
          <t>"Tomorrow we hammy the Frogys"; TCU lost outright to UNC 15-10 so the TCU -9.5 leg lost; Game date assumed = post date (CT); Decimal odds derived from payout/stake</t>
        </is>
      </c>
      <c r="AB132" t="inlineStr">
        <is>
          <t>Parlay/multi-leg</t>
        </is>
      </c>
      <c r="AC132" s="5">
        <f>IF(ISNUMBER(V132),Q132,"")</f>
        <v/>
      </c>
      <c r="AD132">
        <f>IF(ISNUMBER(W132),R132,"")</f>
        <v/>
      </c>
    </row>
    <row r="133">
      <c r="A133" t="inlineStr">
        <is>
          <t>T-226837</t>
        </is>
      </c>
      <c r="B133" t="inlineStr">
        <is>
          <t>Trent</t>
        </is>
      </c>
      <c r="C133" s="2" t="n">
        <v>46262.64892361111</v>
      </c>
      <c r="D133">
        <f>IF(C133="","",TEXT(C133,"dddd"))</f>
        <v/>
      </c>
      <c r="E133" s="3" t="n">
        <v>46262</v>
      </c>
      <c r="F133">
        <f>IF(E133="","",TEXT(E133,"dddd"))</f>
        <v/>
      </c>
      <c r="G133" t="inlineStr">
        <is>
          <t>7:15 PM</t>
        </is>
      </c>
      <c r="H133" t="inlineStr">
        <is>
          <t>N</t>
        </is>
      </c>
      <c r="I133" t="inlineStr"/>
      <c r="J133" t="inlineStr">
        <is>
          <t>MLB</t>
        </is>
      </c>
      <c r="K133" t="inlineStr">
        <is>
          <t>MLB</t>
        </is>
      </c>
      <c r="L133" t="inlineStr">
        <is>
          <t>parlay</t>
        </is>
      </c>
      <c r="M133" t="inlineStr">
        <is>
          <t>Dodgers ML; Braves ML; Blue Jays ML; Rays ML; Astros ML</t>
        </is>
      </c>
      <c r="N133" t="n">
        <v>5</v>
      </c>
      <c r="O133" t="inlineStr">
        <is>
          <t>+1220</t>
        </is>
      </c>
      <c r="P133" s="4" t="n">
        <v>13.2</v>
      </c>
      <c r="Q133" s="5" t="n">
        <v>1000</v>
      </c>
      <c r="R133" t="inlineStr"/>
      <c r="S133" s="5" t="n">
        <v>13200</v>
      </c>
      <c r="T133" t="inlineStr">
        <is>
          <t>Pikkit</t>
        </is>
      </c>
      <c r="U133" t="inlineStr">
        <is>
          <t>W</t>
        </is>
      </c>
      <c r="V133" s="5">
        <f>IF(NOT(ISNUMBER(Q133)),"",IF(U133="W",IF(ISNUMBER(S133),S133-Q133,IF(ISNUMBER(P133),Q133*(P133-1),"")),IF(U133="L",-Q133,IF(U133="Push",0,""))))</f>
        <v/>
      </c>
      <c r="W133">
        <f>IF(NOT(ISNUMBER(R133)),"",IF(U133="W",IF(ISNUMBER(P133),R133*(P133-1),""),IF(U133="L",-R133,IF(U133="Push",0,""))))</f>
        <v/>
      </c>
      <c r="X133" t="inlineStr">
        <is>
          <t>posted</t>
        </is>
      </c>
      <c r="Y133" t="inlineStr">
        <is>
          <t>N</t>
        </is>
      </c>
      <c r="Z133" t="inlineStr">
        <is>
          <t>https://x.com/BookitWithTrent/status/2093437075148226837</t>
        </is>
      </c>
      <c r="AA133" t="inlineStr">
        <is>
          <t>"Friday Night Fugazi 5"; "HOWSYA FRIDAY NIGHT FUGAZZZIIIIII ✅"</t>
        </is>
      </c>
      <c r="AB133" t="inlineStr">
        <is>
          <t>Parlay/multi-leg</t>
        </is>
      </c>
      <c r="AC133" s="5">
        <f>IF(ISNUMBER(V133),Q133,"")</f>
        <v/>
      </c>
      <c r="AD133">
        <f>IF(ISNUMBER(W133),R133,"")</f>
        <v/>
      </c>
    </row>
    <row r="134">
      <c r="A134" t="inlineStr">
        <is>
          <t>T-254005</t>
        </is>
      </c>
      <c r="B134" t="inlineStr">
        <is>
          <t>Trent</t>
        </is>
      </c>
      <c r="C134" s="2" t="n">
        <v>46262.65041666666</v>
      </c>
      <c r="D134">
        <f>IF(C134="","",TEXT(C134,"dddd"))</f>
        <v/>
      </c>
      <c r="E134" s="3" t="n">
        <v>46262</v>
      </c>
      <c r="F134">
        <f>IF(E134="","",TEXT(E134,"dddd"))</f>
        <v/>
      </c>
      <c r="G134" t="inlineStr">
        <is>
          <t>7:15 PM</t>
        </is>
      </c>
      <c r="H134" t="inlineStr">
        <is>
          <t>N</t>
        </is>
      </c>
      <c r="I134" t="inlineStr"/>
      <c r="J134" t="inlineStr">
        <is>
          <t>MLB</t>
        </is>
      </c>
      <c r="K134" t="inlineStr">
        <is>
          <t>MLB</t>
        </is>
      </c>
      <c r="L134" t="inlineStr">
        <is>
          <t>total</t>
        </is>
      </c>
      <c r="M134" t="inlineStr">
        <is>
          <t>Rockies/Braves Over 8.5</t>
        </is>
      </c>
      <c r="N134" t="n">
        <v>1</v>
      </c>
      <c r="O134" t="inlineStr">
        <is>
          <t>-110</t>
        </is>
      </c>
      <c r="P134" s="4" t="n">
        <v>1.9091</v>
      </c>
      <c r="Q134" s="5" t="inlineStr"/>
      <c r="R134" t="inlineStr"/>
      <c r="S134" s="5" t="inlineStr"/>
      <c r="T134" t="inlineStr">
        <is>
          <t>not shown</t>
        </is>
      </c>
      <c r="U134" t="inlineStr">
        <is>
          <t>W</t>
        </is>
      </c>
      <c r="V134" s="5">
        <f>IF(NOT(ISNUMBER(Q134)),"",IF(U134="W",IF(ISNUMBER(S134),S134-Q134,IF(ISNUMBER(P134),Q134*(P134-1),"")),IF(U134="L",-Q134,IF(U134="Push",0,""))))</f>
        <v/>
      </c>
      <c r="W134">
        <f>IF(NOT(ISNUMBER(R134)),"",IF(U134="W",IF(ISNUMBER(P134),R134*(P134-1),""),IF(U134="L",-R134,IF(U134="Push",0,""))))</f>
        <v/>
      </c>
      <c r="X134" t="inlineStr">
        <is>
          <t>graded from final</t>
        </is>
      </c>
      <c r="Y134" t="inlineStr">
        <is>
          <t>N</t>
        </is>
      </c>
      <c r="Z134" t="inlineStr">
        <is>
          <t>https://x.com/BookitWithTrent/status/2093437614137254005</t>
        </is>
      </c>
      <c r="AA134" t="inlineStr">
        <is>
          <t>Friday Night Mortal Megas card</t>
        </is>
      </c>
      <c r="AB134" t="inlineStr">
        <is>
          <t>Single</t>
        </is>
      </c>
      <c r="AC134" s="5">
        <f>IF(ISNUMBER(V134),Q134,"")</f>
        <v/>
      </c>
      <c r="AD134">
        <f>IF(ISNUMBER(W134),R134,"")</f>
        <v/>
      </c>
    </row>
    <row r="135">
      <c r="A135" t="inlineStr">
        <is>
          <t>T-254005b</t>
        </is>
      </c>
      <c r="B135" t="inlineStr">
        <is>
          <t>Trent</t>
        </is>
      </c>
      <c r="C135" s="2" t="n">
        <v>46262.65041666666</v>
      </c>
      <c r="D135">
        <f>IF(C135="","",TEXT(C135,"dddd"))</f>
        <v/>
      </c>
      <c r="E135" s="3" t="n">
        <v>46262</v>
      </c>
      <c r="F135">
        <f>IF(E135="","",TEXT(E135,"dddd"))</f>
        <v/>
      </c>
      <c r="G135" t="inlineStr">
        <is>
          <t>7:15 PM</t>
        </is>
      </c>
      <c r="H135" t="inlineStr">
        <is>
          <t>N</t>
        </is>
      </c>
      <c r="I135" t="inlineStr"/>
      <c r="J135" t="inlineStr">
        <is>
          <t>MLB</t>
        </is>
      </c>
      <c r="K135" t="inlineStr">
        <is>
          <t>MLB</t>
        </is>
      </c>
      <c r="L135" t="inlineStr">
        <is>
          <t>total</t>
        </is>
      </c>
      <c r="M135" t="inlineStr">
        <is>
          <t>Mariners/Blue Jays Under 7</t>
        </is>
      </c>
      <c r="N135" t="n">
        <v>1</v>
      </c>
      <c r="O135" t="inlineStr">
        <is>
          <t>-110</t>
        </is>
      </c>
      <c r="P135" s="4" t="n">
        <v>1.9091</v>
      </c>
      <c r="Q135" s="5" t="inlineStr"/>
      <c r="R135" t="inlineStr"/>
      <c r="S135" s="5" t="inlineStr"/>
      <c r="T135" t="inlineStr">
        <is>
          <t>not shown</t>
        </is>
      </c>
      <c r="U135" t="inlineStr">
        <is>
          <t>L</t>
        </is>
      </c>
      <c r="V135" s="5">
        <f>IF(NOT(ISNUMBER(Q135)),"",IF(U135="W",IF(ISNUMBER(S135),S135-Q135,IF(ISNUMBER(P135),Q135*(P135-1),"")),IF(U135="L",-Q135,IF(U135="Push",0,""))))</f>
        <v/>
      </c>
      <c r="W135">
        <f>IF(NOT(ISNUMBER(R135)),"",IF(U135="W",IF(ISNUMBER(P135),R135*(P135-1),""),IF(U135="L",-R135,IF(U135="Push",0,""))))</f>
        <v/>
      </c>
      <c r="X135" t="inlineStr">
        <is>
          <t>graded from final</t>
        </is>
      </c>
      <c r="Y135" t="inlineStr">
        <is>
          <t>N</t>
        </is>
      </c>
      <c r="Z135" t="inlineStr">
        <is>
          <t>https://x.com/BookitWithTrent/status/2093437614137254005</t>
        </is>
      </c>
      <c r="AA135" t="inlineStr">
        <is>
          <t>Friday Night Mortal Megas card</t>
        </is>
      </c>
      <c r="AB135" t="inlineStr">
        <is>
          <t>Single</t>
        </is>
      </c>
      <c r="AC135" s="5">
        <f>IF(ISNUMBER(V135),Q135,"")</f>
        <v/>
      </c>
      <c r="AD135">
        <f>IF(ISNUMBER(W135),R135,"")</f>
        <v/>
      </c>
    </row>
    <row r="136">
      <c r="A136" t="inlineStr">
        <is>
          <t>T-254005c</t>
        </is>
      </c>
      <c r="B136" t="inlineStr">
        <is>
          <t>Trent</t>
        </is>
      </c>
      <c r="C136" s="2" t="n">
        <v>46262.65041666666</v>
      </c>
      <c r="D136">
        <f>IF(C136="","",TEXT(C136,"dddd"))</f>
        <v/>
      </c>
      <c r="E136" s="3" t="n">
        <v>46262</v>
      </c>
      <c r="F136">
        <f>IF(E136="","",TEXT(E136,"dddd"))</f>
        <v/>
      </c>
      <c r="G136" t="inlineStr">
        <is>
          <t>6:40 PM</t>
        </is>
      </c>
      <c r="H136" t="inlineStr">
        <is>
          <t>N</t>
        </is>
      </c>
      <c r="I136" t="inlineStr"/>
      <c r="J136" t="inlineStr">
        <is>
          <t>MLB</t>
        </is>
      </c>
      <c r="K136" t="inlineStr">
        <is>
          <t>MLB</t>
        </is>
      </c>
      <c r="L136" t="inlineStr">
        <is>
          <t>spread</t>
        </is>
      </c>
      <c r="M136" t="inlineStr">
        <is>
          <t>Dodgers -1.5</t>
        </is>
      </c>
      <c r="N136" t="n">
        <v>1</v>
      </c>
      <c r="O136" t="inlineStr">
        <is>
          <t>-105</t>
        </is>
      </c>
      <c r="P136" s="4" t="n">
        <v>1.9524</v>
      </c>
      <c r="Q136" s="5" t="inlineStr"/>
      <c r="R136" t="inlineStr"/>
      <c r="S136" s="5" t="inlineStr"/>
      <c r="T136" t="inlineStr">
        <is>
          <t>not shown</t>
        </is>
      </c>
      <c r="U136" t="inlineStr">
        <is>
          <t>L</t>
        </is>
      </c>
      <c r="V136" s="5">
        <f>IF(NOT(ISNUMBER(Q136)),"",IF(U136="W",IF(ISNUMBER(S136),S136-Q136,IF(ISNUMBER(P136),Q136*(P136-1),"")),IF(U136="L",-Q136,IF(U136="Push",0,""))))</f>
        <v/>
      </c>
      <c r="W136">
        <f>IF(NOT(ISNUMBER(R136)),"",IF(U136="W",IF(ISNUMBER(P136),R136*(P136-1),""),IF(U136="L",-R136,IF(U136="Push",0,""))))</f>
        <v/>
      </c>
      <c r="X136" t="inlineStr">
        <is>
          <t>graded from final</t>
        </is>
      </c>
      <c r="Y136" t="inlineStr">
        <is>
          <t>N</t>
        </is>
      </c>
      <c r="Z136" t="inlineStr">
        <is>
          <t>https://x.com/BookitWithTrent/status/2093437614137254005</t>
        </is>
      </c>
      <c r="AA136" t="inlineStr">
        <is>
          <t>Friday Night Mortal Megas card</t>
        </is>
      </c>
      <c r="AB136" t="inlineStr">
        <is>
          <t>Single</t>
        </is>
      </c>
      <c r="AC136" s="5">
        <f>IF(ISNUMBER(V136),Q136,"")</f>
        <v/>
      </c>
      <c r="AD136">
        <f>IF(ISNUMBER(W136),R136,"")</f>
        <v/>
      </c>
    </row>
    <row r="137">
      <c r="A137" t="inlineStr">
        <is>
          <t>T-254005d</t>
        </is>
      </c>
      <c r="B137" t="inlineStr">
        <is>
          <t>Trent</t>
        </is>
      </c>
      <c r="C137" s="2" t="n">
        <v>46262.65041666666</v>
      </c>
      <c r="D137">
        <f>IF(C137="","",TEXT(C137,"dddd"))</f>
        <v/>
      </c>
      <c r="E137" s="3" t="n">
        <v>46262</v>
      </c>
      <c r="F137">
        <f>IF(E137="","",TEXT(E137,"dddd"))</f>
        <v/>
      </c>
      <c r="G137" t="inlineStr">
        <is>
          <t>6:00 PM</t>
        </is>
      </c>
      <c r="H137" t="inlineStr">
        <is>
          <t>N</t>
        </is>
      </c>
      <c r="I137" t="inlineStr"/>
      <c r="J137" t="inlineStr">
        <is>
          <t>CFB</t>
        </is>
      </c>
      <c r="K137" t="inlineStr">
        <is>
          <t>FCS</t>
        </is>
      </c>
      <c r="L137" t="inlineStr">
        <is>
          <t>spread</t>
        </is>
      </c>
      <c r="M137" t="inlineStr">
        <is>
          <t>Rhode Island -21</t>
        </is>
      </c>
      <c r="N137" t="n">
        <v>1</v>
      </c>
      <c r="O137" t="inlineStr">
        <is>
          <t>-110</t>
        </is>
      </c>
      <c r="P137" s="4" t="n">
        <v>1.9091</v>
      </c>
      <c r="Q137" s="5" t="inlineStr"/>
      <c r="R137" t="inlineStr"/>
      <c r="S137" s="5" t="inlineStr"/>
      <c r="T137" t="inlineStr">
        <is>
          <t>not shown</t>
        </is>
      </c>
      <c r="U137" t="inlineStr">
        <is>
          <t>W</t>
        </is>
      </c>
      <c r="V137" s="5">
        <f>IF(NOT(ISNUMBER(Q137)),"",IF(U137="W",IF(ISNUMBER(S137),S137-Q137,IF(ISNUMBER(P137),Q137*(P137-1),"")),IF(U137="L",-Q137,IF(U137="Push",0,""))))</f>
        <v/>
      </c>
      <c r="W137">
        <f>IF(NOT(ISNUMBER(R137)),"",IF(U137="W",IF(ISNUMBER(P137),R137*(P137-1),""),IF(U137="L",-R137,IF(U137="Push",0,""))))</f>
        <v/>
      </c>
      <c r="X137" t="inlineStr">
        <is>
          <t>graded from final</t>
        </is>
      </c>
      <c r="Y137" t="inlineStr">
        <is>
          <t>N</t>
        </is>
      </c>
      <c r="Z137" t="inlineStr">
        <is>
          <t>https://x.com/BookitWithTrent/status/2093437614137254005</t>
        </is>
      </c>
      <c r="AA137" t="inlineStr">
        <is>
          <t>Friday Night Mortal Megas card</t>
        </is>
      </c>
      <c r="AB137" t="inlineStr">
        <is>
          <t>Single</t>
        </is>
      </c>
      <c r="AC137" s="5">
        <f>IF(ISNUMBER(V137),Q137,"")</f>
        <v/>
      </c>
      <c r="AD137">
        <f>IF(ISNUMBER(W137),R137,"")</f>
        <v/>
      </c>
    </row>
    <row r="138">
      <c r="A138" t="inlineStr">
        <is>
          <t>T-254005e</t>
        </is>
      </c>
      <c r="B138" t="inlineStr">
        <is>
          <t>Trent</t>
        </is>
      </c>
      <c r="C138" s="2" t="n">
        <v>46262.65041666666</v>
      </c>
      <c r="D138">
        <f>IF(C138="","",TEXT(C138,"dddd"))</f>
        <v/>
      </c>
      <c r="E138" s="3" t="n">
        <v>46262</v>
      </c>
      <c r="F138">
        <f>IF(E138="","",TEXT(E138,"dddd"))</f>
        <v/>
      </c>
      <c r="G138" t="inlineStr">
        <is>
          <t>9:00 PM</t>
        </is>
      </c>
      <c r="H138" t="inlineStr">
        <is>
          <t>Y</t>
        </is>
      </c>
      <c r="I138" t="inlineStr">
        <is>
          <t>CFB weeknight (Tue-Fri)</t>
        </is>
      </c>
      <c r="J138" t="inlineStr">
        <is>
          <t>CFB</t>
        </is>
      </c>
      <c r="K138" t="inlineStr">
        <is>
          <t>FCS</t>
        </is>
      </c>
      <c r="L138" t="inlineStr">
        <is>
          <t>spread</t>
        </is>
      </c>
      <c r="M138" t="inlineStr">
        <is>
          <t>Northern Colorado -3</t>
        </is>
      </c>
      <c r="N138" t="n">
        <v>1</v>
      </c>
      <c r="O138" t="inlineStr">
        <is>
          <t>-110</t>
        </is>
      </c>
      <c r="P138" s="4" t="n">
        <v>1.9091</v>
      </c>
      <c r="Q138" s="5" t="inlineStr"/>
      <c r="R138" t="inlineStr"/>
      <c r="S138" s="5" t="inlineStr"/>
      <c r="T138" t="inlineStr">
        <is>
          <t>not shown</t>
        </is>
      </c>
      <c r="U138" t="inlineStr">
        <is>
          <t>L</t>
        </is>
      </c>
      <c r="V138" s="5">
        <f>IF(NOT(ISNUMBER(Q138)),"",IF(U138="W",IF(ISNUMBER(S138),S138-Q138,IF(ISNUMBER(P138),Q138*(P138-1),"")),IF(U138="L",-Q138,IF(U138="Push",0,""))))</f>
        <v/>
      </c>
      <c r="W138">
        <f>IF(NOT(ISNUMBER(R138)),"",IF(U138="W",IF(ISNUMBER(P138),R138*(P138-1),""),IF(U138="L",-R138,IF(U138="Push",0,""))))</f>
        <v/>
      </c>
      <c r="X138" t="inlineStr">
        <is>
          <t>graded from final</t>
        </is>
      </c>
      <c r="Y138" t="inlineStr">
        <is>
          <t>N</t>
        </is>
      </c>
      <c r="Z138" t="inlineStr">
        <is>
          <t>https://x.com/BookitWithTrent/status/2093437614137254005</t>
        </is>
      </c>
      <c r="AA138" t="inlineStr">
        <is>
          <t>Friday Night Mortal Megas card</t>
        </is>
      </c>
      <c r="AB138" t="inlineStr">
        <is>
          <t>Single</t>
        </is>
      </c>
      <c r="AC138" s="5">
        <f>IF(ISNUMBER(V138),Q138,"")</f>
        <v/>
      </c>
      <c r="AD138">
        <f>IF(ISNUMBER(W138),R138,"")</f>
        <v/>
      </c>
    </row>
    <row r="139">
      <c r="A139" t="inlineStr">
        <is>
          <t>T-254005f</t>
        </is>
      </c>
      <c r="B139" t="inlineStr">
        <is>
          <t>Trent</t>
        </is>
      </c>
      <c r="C139" s="2" t="n">
        <v>46262.65041666666</v>
      </c>
      <c r="D139">
        <f>IF(C139="","",TEXT(C139,"dddd"))</f>
        <v/>
      </c>
      <c r="E139" s="3" t="n">
        <v>46262</v>
      </c>
      <c r="F139">
        <f>IF(E139="","",TEXT(E139,"dddd"))</f>
        <v/>
      </c>
      <c r="G139" t="inlineStr">
        <is>
          <t>6:00 PM</t>
        </is>
      </c>
      <c r="H139" t="inlineStr">
        <is>
          <t>N</t>
        </is>
      </c>
      <c r="I139" t="inlineStr"/>
      <c r="J139" t="inlineStr">
        <is>
          <t>CFB</t>
        </is>
      </c>
      <c r="K139" t="inlineStr">
        <is>
          <t>FCS</t>
        </is>
      </c>
      <c r="L139" t="inlineStr">
        <is>
          <t>spread</t>
        </is>
      </c>
      <c r="M139" t="inlineStr">
        <is>
          <t>New Haven -2.5</t>
        </is>
      </c>
      <c r="N139" t="n">
        <v>1</v>
      </c>
      <c r="O139" t="inlineStr">
        <is>
          <t>-110</t>
        </is>
      </c>
      <c r="P139" s="4" t="n">
        <v>1.9091</v>
      </c>
      <c r="Q139" s="5" t="inlineStr"/>
      <c r="R139" t="inlineStr"/>
      <c r="S139" s="5" t="inlineStr"/>
      <c r="T139" t="inlineStr">
        <is>
          <t>not shown</t>
        </is>
      </c>
      <c r="U139" t="inlineStr">
        <is>
          <t>L</t>
        </is>
      </c>
      <c r="V139" s="5">
        <f>IF(NOT(ISNUMBER(Q139)),"",IF(U139="W",IF(ISNUMBER(S139),S139-Q139,IF(ISNUMBER(P139),Q139*(P139-1),"")),IF(U139="L",-Q139,IF(U139="Push",0,""))))</f>
        <v/>
      </c>
      <c r="W139">
        <f>IF(NOT(ISNUMBER(R139)),"",IF(U139="W",IF(ISNUMBER(P139),R139*(P139-1),""),IF(U139="L",-R139,IF(U139="Push",0,""))))</f>
        <v/>
      </c>
      <c r="X139" t="inlineStr">
        <is>
          <t>graded from final</t>
        </is>
      </c>
      <c r="Y139" t="inlineStr">
        <is>
          <t>N</t>
        </is>
      </c>
      <c r="Z139" t="inlineStr">
        <is>
          <t>https://x.com/BookitWithTrent/status/2093437614137254005</t>
        </is>
      </c>
      <c r="AA139" t="inlineStr">
        <is>
          <t>Friday Night Mortal Megas card</t>
        </is>
      </c>
      <c r="AB139" t="inlineStr">
        <is>
          <t>Single</t>
        </is>
      </c>
      <c r="AC139" s="5">
        <f>IF(ISNUMBER(V139),Q139,"")</f>
        <v/>
      </c>
      <c r="AD139">
        <f>IF(ISNUMBER(W139),R139,"")</f>
        <v/>
      </c>
    </row>
    <row r="140">
      <c r="A140" t="inlineStr">
        <is>
          <t>S-741328</t>
        </is>
      </c>
      <c r="B140" t="inlineStr">
        <is>
          <t>Steve</t>
        </is>
      </c>
      <c r="C140" s="2" t="n">
        <v>46262.74377314815</v>
      </c>
      <c r="D140">
        <f>IF(C140="","",TEXT(C140,"dddd"))</f>
        <v/>
      </c>
      <c r="E140" s="3" t="n">
        <v>46262</v>
      </c>
      <c r="F140">
        <f>IF(E140="","",TEXT(E140,"dddd"))</f>
        <v/>
      </c>
      <c r="G140" t="inlineStr">
        <is>
          <t>6:40 PM</t>
        </is>
      </c>
      <c r="H140" t="inlineStr">
        <is>
          <t>N</t>
        </is>
      </c>
      <c r="I140" t="inlineStr"/>
      <c r="J140" t="inlineStr">
        <is>
          <t>MLB</t>
        </is>
      </c>
      <c r="K140" t="inlineStr">
        <is>
          <t>MLB</t>
        </is>
      </c>
      <c r="L140" t="inlineStr">
        <is>
          <t>parlay</t>
        </is>
      </c>
      <c r="M140" t="inlineStr">
        <is>
          <t>Dodgers ML (live) vs Tigers; Umar Nurmagomedov ML vs Song Yadong (UFC)</t>
        </is>
      </c>
      <c r="N140" t="n">
        <v>2</v>
      </c>
      <c r="O140" t="inlineStr">
        <is>
          <t>not shown</t>
        </is>
      </c>
      <c r="P140" s="4" t="inlineStr"/>
      <c r="Q140" s="5" t="n">
        <v>75000</v>
      </c>
      <c r="R140" t="inlineStr"/>
      <c r="S140" s="5" t="inlineStr">
        <is>
          <t>not shown</t>
        </is>
      </c>
      <c r="T140" t="inlineStr">
        <is>
          <t>Gamdom</t>
        </is>
      </c>
      <c r="U140" t="inlineStr">
        <is>
          <t>L</t>
        </is>
      </c>
      <c r="V140" s="5">
        <f>IF(NOT(ISNUMBER(Q140)),"",IF(U140="W",IF(ISNUMBER(S140),S140-Q140,IF(ISNUMBER(P140),Q140*(P140-1),"")),IF(U140="L",-Q140,IF(U140="Push",0,""))))</f>
        <v/>
      </c>
      <c r="W140">
        <f>IF(NOT(ISNUMBER(R140)),"",IF(U140="W",IF(ISNUMBER(P140),R140*(P140-1),""),IF(U140="L",-R140,IF(U140="Push",0,""))))</f>
        <v/>
      </c>
      <c r="X140" t="inlineStr">
        <is>
          <t>posted</t>
        </is>
      </c>
      <c r="Y140" t="inlineStr">
        <is>
          <t>N</t>
        </is>
      </c>
      <c r="Z140" t="inlineStr">
        <is>
          <t>https://x.com/stevewilldoit/status/2093471447410741328</t>
        </is>
      </c>
      <c r="AA140" t="inlineStr">
        <is>
          <t>Leg odds 1.60 and 1.18; "We hit dodgers and lose on Nurmagomedov"</t>
        </is>
      </c>
      <c r="AB140" t="inlineStr">
        <is>
          <t>Parlay/multi-leg</t>
        </is>
      </c>
      <c r="AC140" s="5">
        <f>IF(ISNUMBER(V140),Q140,"")</f>
        <v/>
      </c>
      <c r="AD140">
        <f>IF(ISNUMBER(W140),R140,"")</f>
        <v/>
      </c>
    </row>
    <row r="141">
      <c r="A141" t="inlineStr">
        <is>
          <t>S-825684</t>
        </is>
      </c>
      <c r="B141" t="inlineStr">
        <is>
          <t>Steve</t>
        </is>
      </c>
      <c r="C141" s="2" t="n">
        <v>46262.80614583333</v>
      </c>
      <c r="D141">
        <f>IF(C141="","",TEXT(C141,"dddd"))</f>
        <v/>
      </c>
      <c r="E141" s="3" t="n">
        <v>46262</v>
      </c>
      <c r="F141">
        <f>IF(E141="","",TEXT(E141,"dddd"))</f>
        <v/>
      </c>
      <c r="G141" t="inlineStr">
        <is>
          <t>8:10 PM</t>
        </is>
      </c>
      <c r="H141" t="inlineStr">
        <is>
          <t>N</t>
        </is>
      </c>
      <c r="I141" t="inlineStr"/>
      <c r="J141" t="inlineStr">
        <is>
          <t>MLB</t>
        </is>
      </c>
      <c r="K141" t="inlineStr">
        <is>
          <t>MLB</t>
        </is>
      </c>
      <c r="L141" t="inlineStr">
        <is>
          <t>spread</t>
        </is>
      </c>
      <c r="M141" t="inlineStr">
        <is>
          <t>Minnesota Twins +2.5 (live) vs White Sox</t>
        </is>
      </c>
      <c r="N141" t="n">
        <v>1</v>
      </c>
      <c r="O141" t="inlineStr">
        <is>
          <t>-213</t>
        </is>
      </c>
      <c r="P141" s="4" t="n">
        <v>1.4695</v>
      </c>
      <c r="Q141" s="5" t="n">
        <v>100000</v>
      </c>
      <c r="R141" t="inlineStr"/>
      <c r="S141" s="5" t="n">
        <v>147000</v>
      </c>
      <c r="T141" t="inlineStr">
        <is>
          <t>Gamdom</t>
        </is>
      </c>
      <c r="U141" t="inlineStr">
        <is>
          <t>L</t>
        </is>
      </c>
      <c r="V141" s="5">
        <f>IF(NOT(ISNUMBER(Q141)),"",IF(U141="W",IF(ISNUMBER(S141),S141-Q141,IF(ISNUMBER(P141),Q141*(P141-1),"")),IF(U141="L",-Q141,IF(U141="Push",0,""))))</f>
        <v/>
      </c>
      <c r="W141">
        <f>IF(NOT(ISNUMBER(R141)),"",IF(U141="W",IF(ISNUMBER(P141),R141*(P141-1),""),IF(U141="L",-R141,IF(U141="Push",0,""))))</f>
        <v/>
      </c>
      <c r="X141" t="inlineStr">
        <is>
          <t>posted</t>
        </is>
      </c>
      <c r="Y141" t="inlineStr">
        <is>
          <t>Y - tags Gamdom</t>
        </is>
      </c>
      <c r="Z141" t="inlineStr">
        <is>
          <t>https://x.com/stevewilldoit/status/2093494050812825684</t>
        </is>
      </c>
      <c r="AA141" t="inlineStr">
        <is>
          <t>"We lost"</t>
        </is>
      </c>
      <c r="AB141" t="inlineStr">
        <is>
          <t>Single</t>
        </is>
      </c>
      <c r="AC141" s="5">
        <f>IF(ISNUMBER(V141),Q141,"")</f>
        <v/>
      </c>
      <c r="AD141">
        <f>IF(ISNUMBER(W141),R141,"")</f>
        <v/>
      </c>
    </row>
    <row r="142">
      <c r="A142" t="inlineStr">
        <is>
          <t>S-863248</t>
        </is>
      </c>
      <c r="B142" t="inlineStr">
        <is>
          <t>Steve</t>
        </is>
      </c>
      <c r="C142" s="2" t="n">
        <v>46262.85538194444</v>
      </c>
      <c r="D142">
        <f>IF(C142="","",TEXT(C142,"dddd"))</f>
        <v/>
      </c>
      <c r="E142" s="3" t="n">
        <v>46262</v>
      </c>
      <c r="F142">
        <f>IF(E142="","",TEXT(E142,"dddd"))</f>
        <v/>
      </c>
      <c r="G142" t="inlineStr">
        <is>
          <t>9:38 PM</t>
        </is>
      </c>
      <c r="H142" t="inlineStr">
        <is>
          <t>N</t>
        </is>
      </c>
      <c r="I142" t="inlineStr"/>
      <c r="J142" t="inlineStr">
        <is>
          <t>MLB</t>
        </is>
      </c>
      <c r="K142" t="inlineStr">
        <is>
          <t>MLB</t>
        </is>
      </c>
      <c r="L142" t="inlineStr">
        <is>
          <t>ML</t>
        </is>
      </c>
      <c r="M142" t="inlineStr">
        <is>
          <t>Philadelphia Phillies ML vs LA Angels</t>
        </is>
      </c>
      <c r="N142" t="n">
        <v>1</v>
      </c>
      <c r="O142" t="inlineStr">
        <is>
          <t>-118</t>
        </is>
      </c>
      <c r="P142" s="4" t="n">
        <v>1.8475</v>
      </c>
      <c r="Q142" s="5" t="n">
        <v>50000</v>
      </c>
      <c r="R142" t="inlineStr"/>
      <c r="S142" s="5" t="n">
        <v>92500</v>
      </c>
      <c r="T142" t="inlineStr">
        <is>
          <t>Gamdom</t>
        </is>
      </c>
      <c r="U142" t="inlineStr">
        <is>
          <t>W</t>
        </is>
      </c>
      <c r="V142" s="5">
        <f>IF(NOT(ISNUMBER(Q142)),"",IF(U142="W",IF(ISNUMBER(S142),S142-Q142,IF(ISNUMBER(P142),Q142*(P142-1),"")),IF(U142="L",-Q142,IF(U142="Push",0,""))))</f>
        <v/>
      </c>
      <c r="W142">
        <f>IF(NOT(ISNUMBER(R142)),"",IF(U142="W",IF(ISNUMBER(P142),R142*(P142-1),""),IF(U142="L",-R142,IF(U142="Push",0,""))))</f>
        <v/>
      </c>
      <c r="X142" t="inlineStr">
        <is>
          <t>posted</t>
        </is>
      </c>
      <c r="Y142" t="inlineStr">
        <is>
          <t>N</t>
        </is>
      </c>
      <c r="Z142" t="inlineStr">
        <is>
          <t>https://x.com/stevewilldoit/status/2093511892169863248</t>
        </is>
      </c>
      <c r="AA142" t="inlineStr">
        <is>
          <t>Following 6ix9ine; "He won I guess"</t>
        </is>
      </c>
      <c r="AB142" t="inlineStr">
        <is>
          <t>Single</t>
        </is>
      </c>
      <c r="AC142" s="5">
        <f>IF(ISNUMBER(V142),Q142,"")</f>
        <v/>
      </c>
      <c r="AD142">
        <f>IF(ISNUMBER(W142),R142,"")</f>
        <v/>
      </c>
    </row>
    <row r="143">
      <c r="A143" t="inlineStr">
        <is>
          <t>T-796333</t>
        </is>
      </c>
      <c r="B143" t="inlineStr">
        <is>
          <t>Trent</t>
        </is>
      </c>
      <c r="C143" s="2" t="n">
        <v>46263.40717592592</v>
      </c>
      <c r="D143">
        <f>IF(C143="","",TEXT(C143,"dddd"))</f>
        <v/>
      </c>
      <c r="E143" s="3" t="n">
        <v>46263</v>
      </c>
      <c r="F143">
        <f>IF(E143="","",TEXT(E143,"dddd"))</f>
        <v/>
      </c>
      <c r="G143" t="inlineStr">
        <is>
          <t>1:10 PM</t>
        </is>
      </c>
      <c r="H143" t="inlineStr">
        <is>
          <t>N</t>
        </is>
      </c>
      <c r="I143" t="inlineStr"/>
      <c r="J143" t="inlineStr">
        <is>
          <t>CFB</t>
        </is>
      </c>
      <c r="K143" t="inlineStr">
        <is>
          <t>CFB</t>
        </is>
      </c>
      <c r="L143" t="inlineStr">
        <is>
          <t>parlay</t>
        </is>
      </c>
      <c r="M143" t="inlineStr">
        <is>
          <t>TCU ML (vs UNC); Dodgers ML (vs Tigers)</t>
        </is>
      </c>
      <c r="N143" t="n">
        <v>2</v>
      </c>
      <c r="O143" t="inlineStr">
        <is>
          <t>+115</t>
        </is>
      </c>
      <c r="P143" s="4" t="n">
        <v>2.15</v>
      </c>
      <c r="Q143" s="5" t="inlineStr"/>
      <c r="R143" t="n">
        <v>1.7</v>
      </c>
      <c r="S143" s="5" t="inlineStr">
        <is>
          <t>not shown</t>
        </is>
      </c>
      <c r="T143" t="inlineStr">
        <is>
          <t>Pikkit</t>
        </is>
      </c>
      <c r="U143" t="inlineStr">
        <is>
          <t>L</t>
        </is>
      </c>
      <c r="V143" s="5">
        <f>IF(NOT(ISNUMBER(Q143)),"",IF(U143="W",IF(ISNUMBER(S143),S143-Q143,IF(ISNUMBER(P143),Q143*(P143-1),"")),IF(U143="L",-Q143,IF(U143="Push",0,""))))</f>
        <v/>
      </c>
      <c r="W143">
        <f>IF(NOT(ISNUMBER(R143)),"",IF(U143="W",IF(ISNUMBER(P143),R143*(P143-1),""),IF(U143="L",-R143,IF(U143="Push",0,""))))</f>
        <v/>
      </c>
      <c r="X143" t="inlineStr">
        <is>
          <t>posted</t>
        </is>
      </c>
      <c r="Y143" t="inlineStr">
        <is>
          <t>Y - tags Pikkit</t>
        </is>
      </c>
      <c r="Z143" t="inlineStr">
        <is>
          <t>https://x.com/BookitWithTrent/status/2093711856837796333</t>
        </is>
      </c>
      <c r="AA143" t="inlineStr">
        <is>
          <t>"Saturday Bozo Pack"; TCU lost outright ("dead", "congrats if you faded")</t>
        </is>
      </c>
      <c r="AB143" t="inlineStr">
        <is>
          <t>Parlay/multi-leg</t>
        </is>
      </c>
      <c r="AC143" s="5">
        <f>IF(ISNUMBER(V143),Q143,"")</f>
        <v/>
      </c>
      <c r="AD143">
        <f>IF(ISNUMBER(W143),R143,"")</f>
        <v/>
      </c>
    </row>
    <row r="144">
      <c r="A144" t="inlineStr">
        <is>
          <t>S-820428</t>
        </is>
      </c>
      <c r="B144" t="inlineStr">
        <is>
          <t>Steve</t>
        </is>
      </c>
      <c r="C144" s="2" t="n">
        <v>46263.51365740741</v>
      </c>
      <c r="D144">
        <f>IF(C144="","",TEXT(C144,"dddd"))</f>
        <v/>
      </c>
      <c r="E144" s="3" t="n">
        <v>46263</v>
      </c>
      <c r="F144">
        <f>IF(E144="","",TEXT(E144,"dddd"))</f>
        <v/>
      </c>
      <c r="G144" t="inlineStr">
        <is>
          <t>4:10 PM</t>
        </is>
      </c>
      <c r="H144" t="inlineStr">
        <is>
          <t>N</t>
        </is>
      </c>
      <c r="I144" t="inlineStr"/>
      <c r="J144" t="inlineStr">
        <is>
          <t>MLB</t>
        </is>
      </c>
      <c r="K144" t="inlineStr">
        <is>
          <t>MLB</t>
        </is>
      </c>
      <c r="L144" t="inlineStr">
        <is>
          <t>total</t>
        </is>
      </c>
      <c r="M144" t="inlineStr">
        <is>
          <t>Guardians vs Royals F5 Under 4.5</t>
        </is>
      </c>
      <c r="N144" t="n">
        <v>1</v>
      </c>
      <c r="O144" t="inlineStr">
        <is>
          <t>-133</t>
        </is>
      </c>
      <c r="P144" s="4" t="n">
        <v>1.7519</v>
      </c>
      <c r="Q144" s="5" t="n">
        <v>47500</v>
      </c>
      <c r="R144" t="inlineStr"/>
      <c r="S144" s="5" t="n">
        <v>83125</v>
      </c>
      <c r="T144" t="inlineStr">
        <is>
          <t>Gamdom</t>
        </is>
      </c>
      <c r="U144" t="inlineStr">
        <is>
          <t>W</t>
        </is>
      </c>
      <c r="V144" s="5">
        <f>IF(NOT(ISNUMBER(Q144)),"",IF(U144="W",IF(ISNUMBER(S144),S144-Q144,IF(ISNUMBER(P144),Q144*(P144-1),"")),IF(U144="L",-Q144,IF(U144="Push",0,""))))</f>
        <v/>
      </c>
      <c r="W144">
        <f>IF(NOT(ISNUMBER(R144)),"",IF(U144="W",IF(ISNUMBER(P144),R144*(P144-1),""),IF(U144="L",-R144,IF(U144="Push",0,""))))</f>
        <v/>
      </c>
      <c r="X144" t="inlineStr">
        <is>
          <t>graded from final</t>
        </is>
      </c>
      <c r="Y144" t="inlineStr">
        <is>
          <t>N</t>
        </is>
      </c>
      <c r="Z144" t="inlineStr">
        <is>
          <t>https://x.com/stevewilldoit/status/2093750444094820428</t>
        </is>
      </c>
      <c r="AA144" t="inlineStr">
        <is>
          <t>AI guy pick</t>
        </is>
      </c>
      <c r="AB144" t="inlineStr">
        <is>
          <t>Single</t>
        </is>
      </c>
      <c r="AC144" s="5">
        <f>IF(ISNUMBER(V144),Q144,"")</f>
        <v/>
      </c>
      <c r="AD144">
        <f>IF(ISNUMBER(W144),R144,"")</f>
        <v/>
      </c>
    </row>
    <row r="145">
      <c r="A145" t="inlineStr">
        <is>
          <t>S-863957</t>
        </is>
      </c>
      <c r="B145" t="inlineStr">
        <is>
          <t>Steve</t>
        </is>
      </c>
      <c r="C145" s="2" t="n">
        <v>46263.51921296296</v>
      </c>
      <c r="D145">
        <f>IF(C145="","",TEXT(C145,"dddd"))</f>
        <v/>
      </c>
      <c r="E145" s="3" t="n">
        <v>46263</v>
      </c>
      <c r="F145">
        <f>IF(E145="","",TEXT(E145,"dddd"))</f>
        <v/>
      </c>
      <c r="G145" t="inlineStr">
        <is>
          <t>1:10 PM</t>
        </is>
      </c>
      <c r="H145" t="inlineStr">
        <is>
          <t>N</t>
        </is>
      </c>
      <c r="I145" t="inlineStr"/>
      <c r="J145" t="inlineStr">
        <is>
          <t>MLB</t>
        </is>
      </c>
      <c r="K145" t="inlineStr">
        <is>
          <t>MLB</t>
        </is>
      </c>
      <c r="L145" t="inlineStr">
        <is>
          <t>ML</t>
        </is>
      </c>
      <c r="M145" t="inlineStr">
        <is>
          <t>Los Angeles Dodgers ML vs Detroit Tigers</t>
        </is>
      </c>
      <c r="N145" t="n">
        <v>1</v>
      </c>
      <c r="O145" t="inlineStr">
        <is>
          <t>-143</t>
        </is>
      </c>
      <c r="P145" s="4" t="n">
        <v>1.6993</v>
      </c>
      <c r="Q145" s="5" t="n">
        <v>40000</v>
      </c>
      <c r="R145" t="inlineStr"/>
      <c r="S145" s="5" t="n">
        <v>68000</v>
      </c>
      <c r="T145" t="inlineStr">
        <is>
          <t>Gamdom</t>
        </is>
      </c>
      <c r="U145" t="inlineStr">
        <is>
          <t>L</t>
        </is>
      </c>
      <c r="V145" s="5">
        <f>IF(NOT(ISNUMBER(Q145)),"",IF(U145="W",IF(ISNUMBER(S145),S145-Q145,IF(ISNUMBER(P145),Q145*(P145-1),"")),IF(U145="L",-Q145,IF(U145="Push",0,""))))</f>
        <v/>
      </c>
      <c r="W145">
        <f>IF(NOT(ISNUMBER(R145)),"",IF(U145="W",IF(ISNUMBER(P145),R145*(P145-1),""),IF(U145="L",-R145,IF(U145="Push",0,""))))</f>
        <v/>
      </c>
      <c r="X145" t="inlineStr">
        <is>
          <t>graded from final</t>
        </is>
      </c>
      <c r="Y145" t="inlineStr">
        <is>
          <t>N</t>
        </is>
      </c>
      <c r="Z145" t="inlineStr">
        <is>
          <t>https://x.com/stevewilldoit/status/2093752458895863957</t>
        </is>
      </c>
      <c r="AA145" t="inlineStr">
        <is>
          <t>6ix9ine pick</t>
        </is>
      </c>
      <c r="AB145" t="inlineStr">
        <is>
          <t>Single</t>
        </is>
      </c>
      <c r="AC145" s="5">
        <f>IF(ISNUMBER(V145),Q145,"")</f>
        <v/>
      </c>
      <c r="AD145">
        <f>IF(ISNUMBER(W145),R145,"")</f>
        <v/>
      </c>
    </row>
    <row r="146">
      <c r="A146" t="inlineStr">
        <is>
          <t>T-805755</t>
        </is>
      </c>
      <c r="B146" t="inlineStr">
        <is>
          <t>Trent</t>
        </is>
      </c>
      <c r="C146" s="2" t="n">
        <v>46263.71778935185</v>
      </c>
      <c r="D146">
        <f>IF(C146="","",TEXT(C146,"dddd"))</f>
        <v/>
      </c>
      <c r="E146" s="3" t="n">
        <v>46263</v>
      </c>
      <c r="F146">
        <f>IF(E146="","",TEXT(E146,"dddd"))</f>
        <v/>
      </c>
      <c r="G146" t="inlineStr">
        <is>
          <t>7:00 PM</t>
        </is>
      </c>
      <c r="H146" t="inlineStr">
        <is>
          <t>Y</t>
        </is>
      </c>
      <c r="I146" t="inlineStr">
        <is>
          <t>CFB Saturday night</t>
        </is>
      </c>
      <c r="J146" t="inlineStr">
        <is>
          <t>CFB</t>
        </is>
      </c>
      <c r="K146" t="inlineStr">
        <is>
          <t>CFB</t>
        </is>
      </c>
      <c r="L146" t="inlineStr">
        <is>
          <t>spread</t>
        </is>
      </c>
      <c r="M146" t="inlineStr">
        <is>
          <t>Stanford -4 (vs Hawaii)</t>
        </is>
      </c>
      <c r="N146" t="n">
        <v>1</v>
      </c>
      <c r="O146" t="inlineStr">
        <is>
          <t>not shown</t>
        </is>
      </c>
      <c r="P146" s="4" t="inlineStr"/>
      <c r="Q146" s="5" t="inlineStr"/>
      <c r="R146" t="inlineStr"/>
      <c r="S146" s="5" t="inlineStr"/>
      <c r="T146" t="inlineStr">
        <is>
          <t>not shown</t>
        </is>
      </c>
      <c r="U146" t="inlineStr">
        <is>
          <t>W</t>
        </is>
      </c>
      <c r="V146" s="5">
        <f>IF(NOT(ISNUMBER(Q146)),"",IF(U146="W",IF(ISNUMBER(S146),S146-Q146,IF(ISNUMBER(P146),Q146*(P146-1),"")),IF(U146="L",-Q146,IF(U146="Push",0,""))))</f>
        <v/>
      </c>
      <c r="W146">
        <f>IF(NOT(ISNUMBER(R146)),"",IF(U146="W",IF(ISNUMBER(P146),R146*(P146-1),""),IF(U146="L",-R146,IF(U146="Push",0,""))))</f>
        <v/>
      </c>
      <c r="X146" t="inlineStr">
        <is>
          <t>graded from final</t>
        </is>
      </c>
      <c r="Y146" t="inlineStr">
        <is>
          <t>N</t>
        </is>
      </c>
      <c r="Z146" t="inlineStr">
        <is>
          <t>https://x.com/BookitWithTrent/status/2093824417809805755</t>
        </is>
      </c>
      <c r="AA146" t="inlineStr">
        <is>
          <t>"Mortal Mega Max"</t>
        </is>
      </c>
      <c r="AB146" t="inlineStr">
        <is>
          <t>Single</t>
        </is>
      </c>
      <c r="AC146" s="5">
        <f>IF(ISNUMBER(V146),Q146,"")</f>
        <v/>
      </c>
      <c r="AD146">
        <f>IF(ISNUMBER(W146),R146,"")</f>
        <v/>
      </c>
    </row>
    <row r="147">
      <c r="A147" t="inlineStr">
        <is>
          <t>S-826193</t>
        </is>
      </c>
      <c r="B147" t="inlineStr">
        <is>
          <t>Steve</t>
        </is>
      </c>
      <c r="C147" s="2" t="n">
        <v>46263.72256944444</v>
      </c>
      <c r="D147">
        <f>IF(C147="","",TEXT(C147,"dddd"))</f>
        <v/>
      </c>
      <c r="E147" s="3" t="n">
        <v>46263</v>
      </c>
      <c r="F147">
        <f>IF(E147="","",TEXT(E147,"dddd"))</f>
        <v/>
      </c>
      <c r="G147" t="inlineStr">
        <is>
          <t>7:00 PM</t>
        </is>
      </c>
      <c r="H147" t="inlineStr">
        <is>
          <t>Y</t>
        </is>
      </c>
      <c r="I147" t="inlineStr">
        <is>
          <t>CFB Saturday night</t>
        </is>
      </c>
      <c r="J147" t="inlineStr">
        <is>
          <t>CFB</t>
        </is>
      </c>
      <c r="K147" t="inlineStr">
        <is>
          <t>CFB</t>
        </is>
      </c>
      <c r="L147" t="inlineStr">
        <is>
          <t>total</t>
        </is>
      </c>
      <c r="M147" t="inlineStr">
        <is>
          <t>Stanford vs Hawaii Under 50</t>
        </is>
      </c>
      <c r="N147" t="n">
        <v>1</v>
      </c>
      <c r="O147" t="inlineStr">
        <is>
          <t>-120</t>
        </is>
      </c>
      <c r="P147" s="4" t="n">
        <v>1.8333</v>
      </c>
      <c r="Q147" s="5" t="n">
        <v>80000</v>
      </c>
      <c r="R147" t="inlineStr"/>
      <c r="S147" s="5" t="n">
        <v>146400</v>
      </c>
      <c r="T147" t="inlineStr">
        <is>
          <t>Gamdom</t>
        </is>
      </c>
      <c r="U147" t="inlineStr">
        <is>
          <t>L</t>
        </is>
      </c>
      <c r="V147" s="5">
        <f>IF(NOT(ISNUMBER(Q147)),"",IF(U147="W",IF(ISNUMBER(S147),S147-Q147,IF(ISNUMBER(P147),Q147*(P147-1),"")),IF(U147="L",-Q147,IF(U147="Push",0,""))))</f>
        <v/>
      </c>
      <c r="W147">
        <f>IF(NOT(ISNUMBER(R147)),"",IF(U147="W",IF(ISNUMBER(P147),R147*(P147-1),""),IF(U147="L",-R147,IF(U147="Push",0,""))))</f>
        <v/>
      </c>
      <c r="X147" t="inlineStr">
        <is>
          <t>posted</t>
        </is>
      </c>
      <c r="Y147" t="inlineStr">
        <is>
          <t>Y - tags Gamdom</t>
        </is>
      </c>
      <c r="Z147" t="inlineStr">
        <is>
          <t>https://x.com/stevewilldoit/status/2093826152443826193</t>
        </is>
      </c>
      <c r="AA147" t="inlineStr">
        <is>
          <t>AI guy said "Stanford u48.5"; slip shows Under 50; "Lost :/"</t>
        </is>
      </c>
      <c r="AB147" t="inlineStr">
        <is>
          <t>Single</t>
        </is>
      </c>
      <c r="AC147" s="5">
        <f>IF(ISNUMBER(V147),Q147,"")</f>
        <v/>
      </c>
      <c r="AD147">
        <f>IF(ISNUMBER(W147),R147,"")</f>
        <v/>
      </c>
    </row>
    <row r="148">
      <c r="A148" t="inlineStr">
        <is>
          <t>T-306566</t>
        </is>
      </c>
      <c r="B148" t="inlineStr">
        <is>
          <t>Trent</t>
        </is>
      </c>
      <c r="C148" s="2" t="n">
        <v>46263.82166666666</v>
      </c>
      <c r="D148">
        <f>IF(C148="","",TEXT(C148,"dddd"))</f>
        <v/>
      </c>
      <c r="E148" s="3" t="n">
        <v>46263</v>
      </c>
      <c r="F148">
        <f>IF(E148="","",TEXT(E148,"dddd"))</f>
        <v/>
      </c>
      <c r="G148" t="inlineStr">
        <is>
          <t>10:00 PM</t>
        </is>
      </c>
      <c r="H148" t="inlineStr">
        <is>
          <t>Y</t>
        </is>
      </c>
      <c r="I148" t="inlineStr">
        <is>
          <t>CFB Saturday night</t>
        </is>
      </c>
      <c r="J148" t="inlineStr">
        <is>
          <t>CFB</t>
        </is>
      </c>
      <c r="K148" t="inlineStr">
        <is>
          <t>CFB</t>
        </is>
      </c>
      <c r="L148" t="inlineStr">
        <is>
          <t>spread</t>
        </is>
      </c>
      <c r="M148" t="inlineStr">
        <is>
          <t>UNLV -4</t>
        </is>
      </c>
      <c r="N148" t="n">
        <v>1</v>
      </c>
      <c r="O148" t="inlineStr">
        <is>
          <t>not shown</t>
        </is>
      </c>
      <c r="P148" s="4" t="inlineStr"/>
      <c r="Q148" s="5" t="inlineStr"/>
      <c r="R148" t="inlineStr"/>
      <c r="S148" s="5" t="inlineStr"/>
      <c r="T148" t="inlineStr">
        <is>
          <t>not shown</t>
        </is>
      </c>
      <c r="U148" t="inlineStr">
        <is>
          <t>L</t>
        </is>
      </c>
      <c r="V148" s="5">
        <f>IF(NOT(ISNUMBER(Q148)),"",IF(U148="W",IF(ISNUMBER(S148),S148-Q148,IF(ISNUMBER(P148),Q148*(P148-1),"")),IF(U148="L",-Q148,IF(U148="Push",0,""))))</f>
        <v/>
      </c>
      <c r="W148">
        <f>IF(NOT(ISNUMBER(R148)),"",IF(U148="W",IF(ISNUMBER(P148),R148*(P148-1),""),IF(U148="L",-R148,IF(U148="Push",0,""))))</f>
        <v/>
      </c>
      <c r="X148" t="inlineStr">
        <is>
          <t>posted</t>
        </is>
      </c>
      <c r="Y148" t="inlineStr">
        <is>
          <t>N</t>
        </is>
      </c>
      <c r="Z148" t="inlineStr">
        <is>
          <t>https://x.com/BookitWithTrent/status/2093862062124306566</t>
        </is>
      </c>
      <c r="AA148" t="inlineStr">
        <is>
          <t>"Late Night Mortal Mega"; loss stated later</t>
        </is>
      </c>
      <c r="AB148" t="inlineStr">
        <is>
          <t>Single</t>
        </is>
      </c>
      <c r="AC148" s="5">
        <f>IF(ISNUMBER(V148),Q148,"")</f>
        <v/>
      </c>
      <c r="AD148">
        <f>IF(ISNUMBER(W148),R148,"")</f>
        <v/>
      </c>
    </row>
    <row r="149">
      <c r="A149" t="inlineStr">
        <is>
          <t>S-626144</t>
        </is>
      </c>
      <c r="B149" t="inlineStr">
        <is>
          <t>Steve</t>
        </is>
      </c>
      <c r="C149" s="2" t="n">
        <v>46264.46744212963</v>
      </c>
      <c r="D149">
        <f>IF(C149="","",TEXT(C149,"dddd"))</f>
        <v/>
      </c>
      <c r="E149" s="3" t="n">
        <v>46264</v>
      </c>
      <c r="F149">
        <f>IF(E149="","",TEXT(E149,"dddd"))</f>
        <v/>
      </c>
      <c r="G149" t="inlineStr">
        <is>
          <t>12:15 PM</t>
        </is>
      </c>
      <c r="H149" t="inlineStr">
        <is>
          <t>N</t>
        </is>
      </c>
      <c r="I149" t="inlineStr"/>
      <c r="J149" t="inlineStr">
        <is>
          <t>MLB</t>
        </is>
      </c>
      <c r="K149" t="inlineStr">
        <is>
          <t>MLB</t>
        </is>
      </c>
      <c r="L149" t="inlineStr">
        <is>
          <t>ML</t>
        </is>
      </c>
      <c r="M149" t="inlineStr">
        <is>
          <t>Washington Nationals F5 1x2 vs Miami Marlins</t>
        </is>
      </c>
      <c r="N149" t="n">
        <v>1</v>
      </c>
      <c r="O149" t="inlineStr">
        <is>
          <t>-135</t>
        </is>
      </c>
      <c r="P149" s="4" t="n">
        <v>1.7407</v>
      </c>
      <c r="Q149" s="5" t="n">
        <v>91000</v>
      </c>
      <c r="R149" t="inlineStr"/>
      <c r="S149" s="5" t="n">
        <v>158340</v>
      </c>
      <c r="T149" t="inlineStr">
        <is>
          <t>Gamdom</t>
        </is>
      </c>
      <c r="U149" t="inlineStr">
        <is>
          <t>W</t>
        </is>
      </c>
      <c r="V149" s="5">
        <f>IF(NOT(ISNUMBER(Q149)),"",IF(U149="W",IF(ISNUMBER(S149),S149-Q149,IF(ISNUMBER(P149),Q149*(P149-1),"")),IF(U149="L",-Q149,IF(U149="Push",0,""))))</f>
        <v/>
      </c>
      <c r="W149">
        <f>IF(NOT(ISNUMBER(R149)),"",IF(U149="W",IF(ISNUMBER(P149),R149*(P149-1),""),IF(U149="L",-R149,IF(U149="Push",0,""))))</f>
        <v/>
      </c>
      <c r="X149" t="inlineStr">
        <is>
          <t>posted</t>
        </is>
      </c>
      <c r="Y149" t="inlineStr">
        <is>
          <t>Y - tags Gamdom</t>
        </is>
      </c>
      <c r="Z149" t="inlineStr">
        <is>
          <t>https://x.com/stevewilldoit/status/2094096084666626144</t>
        </is>
      </c>
      <c r="AA149" t="inlineStr">
        <is>
          <t>AI guy "Washington F5 ML -128"; "We did it BOOOOOOM"</t>
        </is>
      </c>
      <c r="AB149" t="inlineStr">
        <is>
          <t>Single</t>
        </is>
      </c>
      <c r="AC149" s="5">
        <f>IF(ISNUMBER(V149),Q149,"")</f>
        <v/>
      </c>
      <c r="AD149">
        <f>IF(ISNUMBER(W149),R149,"")</f>
        <v/>
      </c>
    </row>
    <row r="150">
      <c r="A150" t="inlineStr">
        <is>
          <t>S-632503</t>
        </is>
      </c>
      <c r="B150" t="inlineStr">
        <is>
          <t>Steve</t>
        </is>
      </c>
      <c r="C150" s="2" t="n">
        <v>46264.61416666667</v>
      </c>
      <c r="D150">
        <f>IF(C150="","",TEXT(C150,"dddd"))</f>
        <v/>
      </c>
      <c r="E150" s="3" t="n">
        <v>46264</v>
      </c>
      <c r="F150">
        <f>IF(E150="","",TEXT(E150,"dddd"))</f>
        <v/>
      </c>
      <c r="G150" t="inlineStr">
        <is>
          <t>1:40 PM</t>
        </is>
      </c>
      <c r="H150" t="inlineStr">
        <is>
          <t>N</t>
        </is>
      </c>
      <c r="I150" t="inlineStr"/>
      <c r="J150" t="inlineStr">
        <is>
          <t>MLB</t>
        </is>
      </c>
      <c r="K150" t="inlineStr">
        <is>
          <t>MLB</t>
        </is>
      </c>
      <c r="L150" t="inlineStr">
        <is>
          <t>ML</t>
        </is>
      </c>
      <c r="M150" t="inlineStr">
        <is>
          <t>Los Angeles Dodgers ML (live) vs Detroit Tigers</t>
        </is>
      </c>
      <c r="N150" t="n">
        <v>1</v>
      </c>
      <c r="O150" t="inlineStr">
        <is>
          <t>-125</t>
        </is>
      </c>
      <c r="P150" s="4" t="n">
        <v>1.8</v>
      </c>
      <c r="Q150" s="5" t="n">
        <v>64000</v>
      </c>
      <c r="R150" t="inlineStr"/>
      <c r="S150" s="5" t="n">
        <v>115200</v>
      </c>
      <c r="T150" t="inlineStr">
        <is>
          <t>Gamdom</t>
        </is>
      </c>
      <c r="U150" t="inlineStr">
        <is>
          <t>W</t>
        </is>
      </c>
      <c r="V150" s="5">
        <f>IF(NOT(ISNUMBER(Q150)),"",IF(U150="W",IF(ISNUMBER(S150),S150-Q150,IF(ISNUMBER(P150),Q150*(P150-1),"")),IF(U150="L",-Q150,IF(U150="Push",0,""))))</f>
        <v/>
      </c>
      <c r="W150">
        <f>IF(NOT(ISNUMBER(R150)),"",IF(U150="W",IF(ISNUMBER(P150),R150*(P150-1),""),IF(U150="L",-R150,IF(U150="Push",0,""))))</f>
        <v/>
      </c>
      <c r="X150" t="inlineStr">
        <is>
          <t>graded from final</t>
        </is>
      </c>
      <c r="Y150" t="inlineStr">
        <is>
          <t>N</t>
        </is>
      </c>
      <c r="Z150" t="inlineStr">
        <is>
          <t>https://x.com/stevewilldoit/status/2094149256403632503</t>
        </is>
      </c>
      <c r="AA150" t="inlineStr">
        <is>
          <t>"just want my money back from Red Sox"</t>
        </is>
      </c>
      <c r="AB150" t="inlineStr">
        <is>
          <t>Single</t>
        </is>
      </c>
      <c r="AC150" s="5">
        <f>IF(ISNUMBER(V150),Q150,"")</f>
        <v/>
      </c>
      <c r="AD150">
        <f>IF(ISNUMBER(W150),R150,"")</f>
        <v/>
      </c>
    </row>
    <row r="151">
      <c r="A151" t="inlineStr">
        <is>
          <t>T-432989</t>
        </is>
      </c>
      <c r="B151" t="inlineStr">
        <is>
          <t>Trent</t>
        </is>
      </c>
      <c r="C151" s="2" t="n">
        <v>46264.65239583333</v>
      </c>
      <c r="D151">
        <f>IF(C151="","",TEXT(C151,"dddd"))</f>
        <v/>
      </c>
      <c r="E151" s="3" t="n">
        <v>46264</v>
      </c>
      <c r="F151">
        <f>IF(E151="","",TEXT(E151,"dddd"))</f>
        <v/>
      </c>
      <c r="G151" t="inlineStr">
        <is>
          <t>7:20 PM</t>
        </is>
      </c>
      <c r="H151" t="inlineStr">
        <is>
          <t>N</t>
        </is>
      </c>
      <c r="I151" t="inlineStr"/>
      <c r="J151" t="inlineStr">
        <is>
          <t>MLB</t>
        </is>
      </c>
      <c r="K151" t="inlineStr">
        <is>
          <t>MLB</t>
        </is>
      </c>
      <c r="L151" t="inlineStr">
        <is>
          <t>ML</t>
        </is>
      </c>
      <c r="M151" t="inlineStr">
        <is>
          <t>Cincinnati Reds ML (Sunday Night Baseball)</t>
        </is>
      </c>
      <c r="N151" t="n">
        <v>1</v>
      </c>
      <c r="O151" t="inlineStr">
        <is>
          <t>+145</t>
        </is>
      </c>
      <c r="P151" s="4" t="n">
        <v>2.45</v>
      </c>
      <c r="Q151" s="5" t="inlineStr"/>
      <c r="R151" t="inlineStr"/>
      <c r="S151" s="5" t="inlineStr"/>
      <c r="T151" t="inlineStr">
        <is>
          <t>not shown</t>
        </is>
      </c>
      <c r="U151" t="inlineStr">
        <is>
          <t>W</t>
        </is>
      </c>
      <c r="V151" s="5">
        <f>IF(NOT(ISNUMBER(Q151)),"",IF(U151="W",IF(ISNUMBER(S151),S151-Q151,IF(ISNUMBER(P151),Q151*(P151-1),"")),IF(U151="L",-Q151,IF(U151="Push",0,""))))</f>
        <v/>
      </c>
      <c r="W151">
        <f>IF(NOT(ISNUMBER(R151)),"",IF(U151="W",IF(ISNUMBER(P151),R151*(P151-1),""),IF(U151="L",-R151,IF(U151="Push",0,""))))</f>
        <v/>
      </c>
      <c r="X151" t="inlineStr">
        <is>
          <t>graded from final</t>
        </is>
      </c>
      <c r="Y151" t="inlineStr">
        <is>
          <t>N</t>
        </is>
      </c>
      <c r="Z151" t="inlineStr">
        <is>
          <t>https://x.com/BookitWithTrent/status/2094163107786432989</t>
        </is>
      </c>
      <c r="AA151" t="inlineStr">
        <is>
          <t>"Sunday Night Mortal Mega Max"</t>
        </is>
      </c>
      <c r="AB151" t="inlineStr">
        <is>
          <t>Single</t>
        </is>
      </c>
      <c r="AC151" s="5">
        <f>IF(ISNUMBER(V151),Q151,"")</f>
        <v/>
      </c>
      <c r="AD151">
        <f>IF(ISNUMBER(W151),R151,"")</f>
        <v/>
      </c>
    </row>
    <row r="152">
      <c r="A152" t="inlineStr">
        <is>
          <t>S-590529</t>
        </is>
      </c>
      <c r="B152" t="inlineStr">
        <is>
          <t>Steve</t>
        </is>
      </c>
      <c r="C152" s="2" t="n">
        <v>46264.68320601852</v>
      </c>
      <c r="D152">
        <f>IF(C152="","",TEXT(C152,"dddd"))</f>
        <v/>
      </c>
      <c r="E152" s="3" t="n">
        <v>46264</v>
      </c>
      <c r="F152">
        <f>IF(E152="","",TEXT(E152,"dddd"))</f>
        <v/>
      </c>
      <c r="G152" t="inlineStr">
        <is>
          <t>4:05 PM</t>
        </is>
      </c>
      <c r="H152" t="inlineStr">
        <is>
          <t>N</t>
        </is>
      </c>
      <c r="I152" t="inlineStr"/>
      <c r="J152" t="inlineStr">
        <is>
          <t>MLB</t>
        </is>
      </c>
      <c r="K152" t="inlineStr">
        <is>
          <t>MLB</t>
        </is>
      </c>
      <c r="L152" t="inlineStr">
        <is>
          <t>spread</t>
        </is>
      </c>
      <c r="M152" t="inlineStr">
        <is>
          <t>Baltimore Orioles +1.5 (live) vs Athletics</t>
        </is>
      </c>
      <c r="N152" t="n">
        <v>1</v>
      </c>
      <c r="O152" t="inlineStr">
        <is>
          <t>-175</t>
        </is>
      </c>
      <c r="P152" s="4" t="n">
        <v>1.5714</v>
      </c>
      <c r="Q152" s="5" t="n">
        <v>50000</v>
      </c>
      <c r="R152" t="inlineStr"/>
      <c r="S152" s="5" t="n">
        <v>78500</v>
      </c>
      <c r="T152" t="inlineStr">
        <is>
          <t>Gamdom</t>
        </is>
      </c>
      <c r="U152" t="inlineStr">
        <is>
          <t>W</t>
        </is>
      </c>
      <c r="V152" s="5">
        <f>IF(NOT(ISNUMBER(Q152)),"",IF(U152="W",IF(ISNUMBER(S152),S152-Q152,IF(ISNUMBER(P152),Q152*(P152-1),"")),IF(U152="L",-Q152,IF(U152="Push",0,""))))</f>
        <v/>
      </c>
      <c r="W152">
        <f>IF(NOT(ISNUMBER(R152)),"",IF(U152="W",IF(ISNUMBER(P152),R152*(P152-1),""),IF(U152="L",-R152,IF(U152="Push",0,""))))</f>
        <v/>
      </c>
      <c r="X152" t="inlineStr">
        <is>
          <t>graded from final</t>
        </is>
      </c>
      <c r="Y152" t="inlineStr">
        <is>
          <t>Y - tags Gamdom, promo/giveaway language</t>
        </is>
      </c>
      <c r="Z152" t="inlineStr">
        <is>
          <t>https://x.com/stevewilldoit/status/2094174276173590529</t>
        </is>
      </c>
      <c r="AA152" t="inlineStr">
        <is>
          <t>Live bet, 6ix9ine</t>
        </is>
      </c>
      <c r="AB152" t="inlineStr">
        <is>
          <t>Single</t>
        </is>
      </c>
      <c r="AC152" s="5">
        <f>IF(ISNUMBER(V152),Q152,"")</f>
        <v/>
      </c>
      <c r="AD152">
        <f>IF(ISNUMBER(W152),R152,"")</f>
        <v/>
      </c>
    </row>
    <row r="153">
      <c r="A153" t="inlineStr">
        <is>
          <t>T-357594</t>
        </is>
      </c>
      <c r="B153" t="inlineStr">
        <is>
          <t>Trent</t>
        </is>
      </c>
      <c r="C153" s="2" t="n">
        <v>46265.63936342593</v>
      </c>
      <c r="D153">
        <f>IF(C153="","",TEXT(C153,"dddd"))</f>
        <v/>
      </c>
      <c r="E153" s="3" t="n">
        <v>46265</v>
      </c>
      <c r="F153">
        <f>IF(E153="","",TEXT(E153,"dddd"))</f>
        <v/>
      </c>
      <c r="G153" t="inlineStr">
        <is>
          <t>8:40 PM</t>
        </is>
      </c>
      <c r="H153" t="inlineStr">
        <is>
          <t>N</t>
        </is>
      </c>
      <c r="I153" t="inlineStr"/>
      <c r="J153" t="inlineStr">
        <is>
          <t>MLB</t>
        </is>
      </c>
      <c r="K153" t="inlineStr">
        <is>
          <t>MLB</t>
        </is>
      </c>
      <c r="L153" t="inlineStr">
        <is>
          <t>parlay</t>
        </is>
      </c>
      <c r="M153" t="inlineStr">
        <is>
          <t>Red Sox ML; Padres ML; Rays ML; Braves ML; Orioles ML</t>
        </is>
      </c>
      <c r="N153" t="n">
        <v>5</v>
      </c>
      <c r="O153" t="inlineStr">
        <is>
          <t>+1100</t>
        </is>
      </c>
      <c r="P153" s="4" t="n">
        <v>12</v>
      </c>
      <c r="Q153" s="5" t="n">
        <v>1000</v>
      </c>
      <c r="R153" t="inlineStr"/>
      <c r="S153" s="5" t="n">
        <v>12100</v>
      </c>
      <c r="T153" t="inlineStr">
        <is>
          <t>Pikkit</t>
        </is>
      </c>
      <c r="U153" t="inlineStr">
        <is>
          <t>L</t>
        </is>
      </c>
      <c r="V153" s="5">
        <f>IF(NOT(ISNUMBER(Q153)),"",IF(U153="W",IF(ISNUMBER(S153),S153-Q153,IF(ISNUMBER(P153),Q153*(P153-1),"")),IF(U153="L",-Q153,IF(U153="Push",0,""))))</f>
        <v/>
      </c>
      <c r="W153">
        <f>IF(NOT(ISNUMBER(R153)),"",IF(U153="W",IF(ISNUMBER(P153),R153*(P153-1),""),IF(U153="L",-R153,IF(U153="Push",0,""))))</f>
        <v/>
      </c>
      <c r="X153" t="inlineStr">
        <is>
          <t>posted</t>
        </is>
      </c>
      <c r="Y153" t="inlineStr">
        <is>
          <t>N</t>
        </is>
      </c>
      <c r="Z153" t="inlineStr">
        <is>
          <t>https://x.com/BookitWithTrent/status/2094520773310357594</t>
        </is>
      </c>
      <c r="AA153" t="inlineStr">
        <is>
          <t>"Monday Night Fugazi 5"; "died in the first game gg"</t>
        </is>
      </c>
      <c r="AB153" t="inlineStr">
        <is>
          <t>Parlay/multi-leg</t>
        </is>
      </c>
      <c r="AC153" s="5">
        <f>IF(ISNUMBER(V153),Q153,"")</f>
        <v/>
      </c>
      <c r="AD153">
        <f>IF(ISNUMBER(W153),R153,"")</f>
        <v/>
      </c>
    </row>
    <row r="154">
      <c r="A154" t="inlineStr">
        <is>
          <t>S-820959</t>
        </is>
      </c>
      <c r="B154" t="inlineStr">
        <is>
          <t>Steve</t>
        </is>
      </c>
      <c r="C154" s="2" t="n">
        <v>46265.83461805555</v>
      </c>
      <c r="D154">
        <f>IF(C154="","",TEXT(C154,"dddd"))</f>
        <v/>
      </c>
      <c r="E154" s="3" t="n">
        <v>46265</v>
      </c>
      <c r="F154">
        <f>IF(E154="","",TEXT(E154,"dddd"))</f>
        <v/>
      </c>
      <c r="G154" t="inlineStr">
        <is>
          <t>9:38 PM</t>
        </is>
      </c>
      <c r="H154" t="inlineStr">
        <is>
          <t>N</t>
        </is>
      </c>
      <c r="I154" t="inlineStr"/>
      <c r="J154" t="inlineStr">
        <is>
          <t>MLB</t>
        </is>
      </c>
      <c r="K154" t="inlineStr">
        <is>
          <t>MLB</t>
        </is>
      </c>
      <c r="L154" t="inlineStr">
        <is>
          <t>spread</t>
        </is>
      </c>
      <c r="M154" t="inlineStr">
        <is>
          <t>Los Angeles Angels F5 handicap (0) vs NY Yankees</t>
        </is>
      </c>
      <c r="N154" t="n">
        <v>1</v>
      </c>
      <c r="O154" t="inlineStr">
        <is>
          <t>-110</t>
        </is>
      </c>
      <c r="P154" s="4" t="n">
        <v>1.9091</v>
      </c>
      <c r="Q154" s="5" t="n">
        <v>50719</v>
      </c>
      <c r="R154" t="inlineStr"/>
      <c r="S154" s="5" t="n">
        <v>96873.28999999999</v>
      </c>
      <c r="T154" t="inlineStr">
        <is>
          <t>Gamdom</t>
        </is>
      </c>
      <c r="U154" t="inlineStr">
        <is>
          <t>W</t>
        </is>
      </c>
      <c r="V154" s="5">
        <f>IF(NOT(ISNUMBER(Q154)),"",IF(U154="W",IF(ISNUMBER(S154),S154-Q154,IF(ISNUMBER(P154),Q154*(P154-1),"")),IF(U154="L",-Q154,IF(U154="Push",0,""))))</f>
        <v/>
      </c>
      <c r="W154">
        <f>IF(NOT(ISNUMBER(R154)),"",IF(U154="W",IF(ISNUMBER(P154),R154*(P154-1),""),IF(U154="L",-R154,IF(U154="Push",0,""))))</f>
        <v/>
      </c>
      <c r="X154" t="inlineStr">
        <is>
          <t>graded from final</t>
        </is>
      </c>
      <c r="Y154" t="inlineStr">
        <is>
          <t>N</t>
        </is>
      </c>
      <c r="Z154" t="inlineStr">
        <is>
          <t>https://x.com/stevewilldoit/status/2094591530614820959</t>
        </is>
      </c>
      <c r="AA154" t="inlineStr">
        <is>
          <t>Bet with @TheGoobr's $300k stream money</t>
        </is>
      </c>
      <c r="AB154" t="inlineStr">
        <is>
          <t>Single</t>
        </is>
      </c>
      <c r="AC154" s="5">
        <f>IF(ISNUMBER(V154),Q154,"")</f>
        <v/>
      </c>
      <c r="AD154">
        <f>IF(ISNUMBER(W154),R154,"")</f>
        <v/>
      </c>
    </row>
    <row r="155">
      <c r="A155" t="inlineStr">
        <is>
          <t>S-820959b</t>
        </is>
      </c>
      <c r="B155" t="inlineStr">
        <is>
          <t>Steve</t>
        </is>
      </c>
      <c r="C155" s="2" t="n">
        <v>46265.83461805555</v>
      </c>
      <c r="D155">
        <f>IF(C155="","",TEXT(C155,"dddd"))</f>
        <v/>
      </c>
      <c r="E155" s="3" t="n">
        <v>46265</v>
      </c>
      <c r="F155">
        <f>IF(E155="","",TEXT(E155,"dddd"))</f>
        <v/>
      </c>
      <c r="G155" t="inlineStr">
        <is>
          <t>9:40 PM</t>
        </is>
      </c>
      <c r="H155" t="inlineStr">
        <is>
          <t>N</t>
        </is>
      </c>
      <c r="I155" t="inlineStr"/>
      <c r="J155" t="inlineStr">
        <is>
          <t>MLB</t>
        </is>
      </c>
      <c r="K155" t="inlineStr">
        <is>
          <t>MLB</t>
        </is>
      </c>
      <c r="L155" t="inlineStr">
        <is>
          <t>ML</t>
        </is>
      </c>
      <c r="M155" t="inlineStr">
        <is>
          <t>Arizona Diamondbacks ML vs Philadelphia Phillies</t>
        </is>
      </c>
      <c r="N155" t="n">
        <v>1</v>
      </c>
      <c r="O155" t="inlineStr">
        <is>
          <t>-104</t>
        </is>
      </c>
      <c r="P155" s="4" t="n">
        <v>1.9615</v>
      </c>
      <c r="Q155" s="5" t="n">
        <v>50000</v>
      </c>
      <c r="R155" t="inlineStr"/>
      <c r="S155" s="5" t="n">
        <v>98000</v>
      </c>
      <c r="T155" t="inlineStr">
        <is>
          <t>Gamdom</t>
        </is>
      </c>
      <c r="U155" t="inlineStr">
        <is>
          <t>L</t>
        </is>
      </c>
      <c r="V155" s="5">
        <f>IF(NOT(ISNUMBER(Q155)),"",IF(U155="W",IF(ISNUMBER(S155),S155-Q155,IF(ISNUMBER(P155),Q155*(P155-1),"")),IF(U155="L",-Q155,IF(U155="Push",0,""))))</f>
        <v/>
      </c>
      <c r="W155">
        <f>IF(NOT(ISNUMBER(R155)),"",IF(U155="W",IF(ISNUMBER(P155),R155*(P155-1),""),IF(U155="L",-R155,IF(U155="Push",0,""))))</f>
        <v/>
      </c>
      <c r="X155" t="inlineStr">
        <is>
          <t>graded from final</t>
        </is>
      </c>
      <c r="Y155" t="inlineStr">
        <is>
          <t>N</t>
        </is>
      </c>
      <c r="Z155" t="inlineStr">
        <is>
          <t>https://x.com/stevewilldoit/status/2094591530614820959</t>
        </is>
      </c>
      <c r="AA155" t="inlineStr">
        <is>
          <t>Bet with @TheGoobr's money</t>
        </is>
      </c>
      <c r="AB155" t="inlineStr">
        <is>
          <t>Single</t>
        </is>
      </c>
      <c r="AC155" s="5">
        <f>IF(ISNUMBER(V155),Q155,"")</f>
        <v/>
      </c>
      <c r="AD155">
        <f>IF(ISNUMBER(W155),R155,"")</f>
        <v/>
      </c>
    </row>
    <row r="156">
      <c r="A156" t="inlineStr">
        <is>
          <t>T-905367</t>
        </is>
      </c>
      <c r="B156" t="inlineStr">
        <is>
          <t>Trent</t>
        </is>
      </c>
      <c r="C156" s="2" t="n">
        <v>46265.87914351852</v>
      </c>
      <c r="D156">
        <f>IF(C156="","",TEXT(C156,"dddd"))</f>
        <v/>
      </c>
      <c r="E156" s="3" t="n">
        <v>46265</v>
      </c>
      <c r="F156">
        <f>IF(E156="","",TEXT(E156,"dddd"))</f>
        <v/>
      </c>
      <c r="G156" t="inlineStr">
        <is>
          <t>not matched</t>
        </is>
      </c>
      <c r="H156" t="inlineStr">
        <is>
          <t>N</t>
        </is>
      </c>
      <c r="I156" t="inlineStr"/>
      <c r="J156" t="inlineStr">
        <is>
          <t>MLB</t>
        </is>
      </c>
      <c r="K156" t="inlineStr">
        <is>
          <t>MLB</t>
        </is>
      </c>
      <c r="L156" t="inlineStr">
        <is>
          <t>PrizePicks/DFS</t>
        </is>
      </c>
      <c r="M156" t="inlineStr">
        <is>
          <t>Jackson Merrill o1.5 H+R+RBI; George Kirby u26.5 PFS; Jacob deGrom u1.5 ER; Dylan Beavers o1.5 H+R+RBI</t>
        </is>
      </c>
      <c r="N156" t="n">
        <v>4</v>
      </c>
      <c r="O156" t="inlineStr">
        <is>
          <t>not shown</t>
        </is>
      </c>
      <c r="P156" s="4" t="n">
        <v>9.25</v>
      </c>
      <c r="Q156" s="5" t="n">
        <v>1000</v>
      </c>
      <c r="R156" t="inlineStr"/>
      <c r="S156" s="5" t="n">
        <v>9250</v>
      </c>
      <c r="T156" t="inlineStr">
        <is>
          <t>PrizePicks</t>
        </is>
      </c>
      <c r="U156" t="inlineStr">
        <is>
          <t>W</t>
        </is>
      </c>
      <c r="V156" s="5">
        <f>IF(NOT(ISNUMBER(Q156)),"",IF(U156="W",IF(ISNUMBER(S156),S156-Q156,IF(ISNUMBER(P156),Q156*(P156-1),"")),IF(U156="L",-Q156,IF(U156="Push",0,""))))</f>
        <v/>
      </c>
      <c r="W156">
        <f>IF(NOT(ISNUMBER(R156)),"",IF(U156="W",IF(ISNUMBER(P156),R156*(P156-1),""),IF(U156="L",-R156,IF(U156="Push",0,""))))</f>
        <v/>
      </c>
      <c r="X156" t="inlineStr">
        <is>
          <t>posted</t>
        </is>
      </c>
      <c r="Y156" t="inlineStr">
        <is>
          <t>N</t>
        </is>
      </c>
      <c r="Z156" t="inlineStr">
        <is>
          <t>https://x.com/BookitWithTrent/status/2094607668878905367</t>
        </is>
      </c>
      <c r="AA156" t="inlineStr">
        <is>
          <t>"Ended with hitting 2 PP slips"; Game date assumed = post date (CT); Decimal odds derived from payout/stake</t>
        </is>
      </c>
      <c r="AB156" t="inlineStr">
        <is>
          <t>Parlay/multi-leg</t>
        </is>
      </c>
      <c r="AC156" s="5">
        <f>IF(ISNUMBER(V156),Q156,"")</f>
        <v/>
      </c>
      <c r="AD156">
        <f>IF(ISNUMBER(W156),R156,"")</f>
        <v/>
      </c>
    </row>
    <row r="157">
      <c r="A157" t="inlineStr">
        <is>
          <t>T-905367b</t>
        </is>
      </c>
      <c r="B157" t="inlineStr">
        <is>
          <t>Trent</t>
        </is>
      </c>
      <c r="C157" s="2" t="n">
        <v>46265.87914351852</v>
      </c>
      <c r="D157">
        <f>IF(C157="","",TEXT(C157,"dddd"))</f>
        <v/>
      </c>
      <c r="E157" s="3" t="n">
        <v>46265</v>
      </c>
      <c r="F157">
        <f>IF(E157="","",TEXT(E157,"dddd"))</f>
        <v/>
      </c>
      <c r="G157" t="inlineStr">
        <is>
          <t>not matched</t>
        </is>
      </c>
      <c r="H157" t="inlineStr">
        <is>
          <t>N</t>
        </is>
      </c>
      <c r="I157" t="inlineStr"/>
      <c r="J157" t="inlineStr">
        <is>
          <t>MLB</t>
        </is>
      </c>
      <c r="K157" t="inlineStr">
        <is>
          <t>MLB</t>
        </is>
      </c>
      <c r="L157" t="inlineStr">
        <is>
          <t>PrizePicks/DFS</t>
        </is>
      </c>
      <c r="M157" t="inlineStr">
        <is>
          <t>Payton Tolle o4.5 K; Kyle Harrison u4.5 hits allowed; Jackson Jobe u1.5 walks; Jacob deGrom o14.5 pitching outs</t>
        </is>
      </c>
      <c r="N157" t="n">
        <v>4</v>
      </c>
      <c r="O157" t="inlineStr">
        <is>
          <t>not shown</t>
        </is>
      </c>
      <c r="P157" s="4" t="n">
        <v>3.25</v>
      </c>
      <c r="Q157" s="5" t="n">
        <v>1000</v>
      </c>
      <c r="R157" t="inlineStr"/>
      <c r="S157" s="5" t="n">
        <v>3250</v>
      </c>
      <c r="T157" t="inlineStr">
        <is>
          <t>PrizePicks</t>
        </is>
      </c>
      <c r="U157" t="inlineStr">
        <is>
          <t>W</t>
        </is>
      </c>
      <c r="V157" s="5">
        <f>IF(NOT(ISNUMBER(Q157)),"",IF(U157="W",IF(ISNUMBER(S157),S157-Q157,IF(ISNUMBER(P157),Q157*(P157-1),"")),IF(U157="L",-Q157,IF(U157="Push",0,""))))</f>
        <v/>
      </c>
      <c r="W157">
        <f>IF(NOT(ISNUMBER(R157)),"",IF(U157="W",IF(ISNUMBER(P157),R157*(P157-1),""),IF(U157="L",-R157,IF(U157="Push",0,""))))</f>
        <v/>
      </c>
      <c r="X157" t="inlineStr">
        <is>
          <t>posted</t>
        </is>
      </c>
      <c r="Y157" t="inlineStr">
        <is>
          <t>N</t>
        </is>
      </c>
      <c r="Z157" t="inlineStr">
        <is>
          <t>https://x.com/BookitWithTrent/status/2094607668878905367</t>
        </is>
      </c>
      <c r="AA157" t="inlineStr">
        <is>
          <t>"Ended with hitting 2 PP slips"; Game date assumed = post date (CT); Decimal odds derived from payout/stake</t>
        </is>
      </c>
      <c r="AB157" t="inlineStr">
        <is>
          <t>Parlay/multi-leg</t>
        </is>
      </c>
      <c r="AC157" s="5">
        <f>IF(ISNUMBER(V157),Q157,"")</f>
        <v/>
      </c>
      <c r="AD157">
        <f>IF(ISNUMBER(W157),R157,"")</f>
        <v/>
      </c>
    </row>
    <row r="158">
      <c r="A158" t="inlineStr">
        <is>
          <t>S-091134</t>
        </is>
      </c>
      <c r="B158" t="inlineStr">
        <is>
          <t>Steve</t>
        </is>
      </c>
      <c r="C158" s="2" t="n">
        <v>46266.20978009259</v>
      </c>
      <c r="D158">
        <f>IF(C158="","",TEXT(C158,"dddd"))</f>
        <v/>
      </c>
      <c r="E158" s="3" t="n">
        <v>46266</v>
      </c>
      <c r="F158">
        <f>IF(E158="","",TEXT(E158,"dddd"))</f>
        <v/>
      </c>
      <c r="G158" t="inlineStr">
        <is>
          <t>10:10 PM</t>
        </is>
      </c>
      <c r="H158" t="inlineStr">
        <is>
          <t>N</t>
        </is>
      </c>
      <c r="I158" t="inlineStr"/>
      <c r="J158" t="inlineStr">
        <is>
          <t>MLB</t>
        </is>
      </c>
      <c r="K158" t="inlineStr">
        <is>
          <t>MLB</t>
        </is>
      </c>
      <c r="L158" t="inlineStr">
        <is>
          <t>ML</t>
        </is>
      </c>
      <c r="M158" t="inlineStr">
        <is>
          <t>Los Angeles Dodgers ML vs St. Louis Cardinals</t>
        </is>
      </c>
      <c r="N158" t="n">
        <v>1</v>
      </c>
      <c r="O158" t="inlineStr">
        <is>
          <t>-179</t>
        </is>
      </c>
      <c r="P158" s="4" t="n">
        <v>1.5587</v>
      </c>
      <c r="Q158" s="5" t="n">
        <v>75000</v>
      </c>
      <c r="R158" t="inlineStr"/>
      <c r="S158" s="5" t="n">
        <v>117000</v>
      </c>
      <c r="T158" t="inlineStr">
        <is>
          <t>Gamdom</t>
        </is>
      </c>
      <c r="U158" t="inlineStr">
        <is>
          <t>L</t>
        </is>
      </c>
      <c r="V158" s="5">
        <f>IF(NOT(ISNUMBER(Q158)),"",IF(U158="W",IF(ISNUMBER(S158),S158-Q158,IF(ISNUMBER(P158),Q158*(P158-1),"")),IF(U158="L",-Q158,IF(U158="Push",0,""))))</f>
        <v/>
      </c>
      <c r="W158">
        <f>IF(NOT(ISNUMBER(R158)),"",IF(U158="W",IF(ISNUMBER(P158),R158*(P158-1),""),IF(U158="L",-R158,IF(U158="Push",0,""))))</f>
        <v/>
      </c>
      <c r="X158" t="inlineStr">
        <is>
          <t>graded from final</t>
        </is>
      </c>
      <c r="Y158" t="inlineStr">
        <is>
          <t>N</t>
        </is>
      </c>
      <c r="Z158" t="inlineStr">
        <is>
          <t>https://x.com/stevewilldoit/status/2094727487750091134</t>
        </is>
      </c>
      <c r="AA158" t="inlineStr">
        <is>
          <t>6ix9ine picks with @TheGoobr's money ($280k total)</t>
        </is>
      </c>
      <c r="AB158" t="inlineStr">
        <is>
          <t>Single</t>
        </is>
      </c>
      <c r="AC158" s="5">
        <f>IF(ISNUMBER(V158),Q158,"")</f>
        <v/>
      </c>
      <c r="AD158">
        <f>IF(ISNUMBER(W158),R158,"")</f>
        <v/>
      </c>
    </row>
    <row r="159">
      <c r="A159" t="inlineStr">
        <is>
          <t>S-091134b</t>
        </is>
      </c>
      <c r="B159" t="inlineStr">
        <is>
          <t>Steve</t>
        </is>
      </c>
      <c r="C159" s="2" t="n">
        <v>46266.20978009259</v>
      </c>
      <c r="D159">
        <f>IF(C159="","",TEXT(C159,"dddd"))</f>
        <v/>
      </c>
      <c r="E159" s="3" t="n">
        <v>46266</v>
      </c>
      <c r="F159">
        <f>IF(E159="","",TEXT(E159,"dddd"))</f>
        <v/>
      </c>
      <c r="G159" t="inlineStr">
        <is>
          <t>7:40 PM</t>
        </is>
      </c>
      <c r="H159" t="inlineStr">
        <is>
          <t>N</t>
        </is>
      </c>
      <c r="I159" t="inlineStr"/>
      <c r="J159" t="inlineStr">
        <is>
          <t>MLB</t>
        </is>
      </c>
      <c r="K159" t="inlineStr">
        <is>
          <t>MLB</t>
        </is>
      </c>
      <c r="L159" t="inlineStr">
        <is>
          <t>ML</t>
        </is>
      </c>
      <c r="M159" t="inlineStr">
        <is>
          <t>Kansas City Royals ML vs Miami Marlins</t>
        </is>
      </c>
      <c r="N159" t="n">
        <v>1</v>
      </c>
      <c r="O159" t="inlineStr">
        <is>
          <t>-120</t>
        </is>
      </c>
      <c r="P159" s="4" t="n">
        <v>1.8333</v>
      </c>
      <c r="Q159" s="5" t="n">
        <v>75000</v>
      </c>
      <c r="R159" t="inlineStr"/>
      <c r="S159" s="5" t="n">
        <v>137250</v>
      </c>
      <c r="T159" t="inlineStr">
        <is>
          <t>Gamdom</t>
        </is>
      </c>
      <c r="U159" t="inlineStr">
        <is>
          <t>L</t>
        </is>
      </c>
      <c r="V159" s="5">
        <f>IF(NOT(ISNUMBER(Q159)),"",IF(U159="W",IF(ISNUMBER(S159),S159-Q159,IF(ISNUMBER(P159),Q159*(P159-1),"")),IF(U159="L",-Q159,IF(U159="Push",0,""))))</f>
        <v/>
      </c>
      <c r="W159">
        <f>IF(NOT(ISNUMBER(R159)),"",IF(U159="W",IF(ISNUMBER(P159),R159*(P159-1),""),IF(U159="L",-R159,IF(U159="Push",0,""))))</f>
        <v/>
      </c>
      <c r="X159" t="inlineStr">
        <is>
          <t>graded from final</t>
        </is>
      </c>
      <c r="Y159" t="inlineStr">
        <is>
          <t>N</t>
        </is>
      </c>
      <c r="Z159" t="inlineStr">
        <is>
          <t>https://x.com/stevewilldoit/status/2094727487750091134</t>
        </is>
      </c>
      <c r="AA159" t="inlineStr">
        <is>
          <t>6ix9ine picks</t>
        </is>
      </c>
      <c r="AB159" t="inlineStr">
        <is>
          <t>Single</t>
        </is>
      </c>
      <c r="AC159" s="5">
        <f>IF(ISNUMBER(V159),Q159,"")</f>
        <v/>
      </c>
      <c r="AD159">
        <f>IF(ISNUMBER(W159),R159,"")</f>
        <v/>
      </c>
    </row>
    <row r="160">
      <c r="A160" t="inlineStr">
        <is>
          <t>S-091134c</t>
        </is>
      </c>
      <c r="B160" t="inlineStr">
        <is>
          <t>Steve</t>
        </is>
      </c>
      <c r="C160" s="2" t="n">
        <v>46266.20978009259</v>
      </c>
      <c r="D160">
        <f>IF(C160="","",TEXT(C160,"dddd"))</f>
        <v/>
      </c>
      <c r="E160" s="3" t="n">
        <v>46266</v>
      </c>
      <c r="F160">
        <f>IF(E160="","",TEXT(E160,"dddd"))</f>
        <v/>
      </c>
      <c r="G160" t="inlineStr">
        <is>
          <t>8:40 PM</t>
        </is>
      </c>
      <c r="H160" t="inlineStr">
        <is>
          <t>N</t>
        </is>
      </c>
      <c r="I160" t="inlineStr"/>
      <c r="J160" t="inlineStr">
        <is>
          <t>MLB</t>
        </is>
      </c>
      <c r="K160" t="inlineStr">
        <is>
          <t>MLB</t>
        </is>
      </c>
      <c r="L160" t="inlineStr">
        <is>
          <t>ML</t>
        </is>
      </c>
      <c r="M160" t="inlineStr">
        <is>
          <t>Baltimore Orioles ML vs Colorado Rockies</t>
        </is>
      </c>
      <c r="N160" t="n">
        <v>1</v>
      </c>
      <c r="O160" t="inlineStr">
        <is>
          <t>-143</t>
        </is>
      </c>
      <c r="P160" s="4" t="n">
        <v>1.6993</v>
      </c>
      <c r="Q160" s="5" t="n">
        <v>70000</v>
      </c>
      <c r="R160" t="inlineStr"/>
      <c r="S160" s="5" t="n">
        <v>119000</v>
      </c>
      <c r="T160" t="inlineStr">
        <is>
          <t>Gamdom</t>
        </is>
      </c>
      <c r="U160" t="inlineStr">
        <is>
          <t>L</t>
        </is>
      </c>
      <c r="V160" s="5">
        <f>IF(NOT(ISNUMBER(Q160)),"",IF(U160="W",IF(ISNUMBER(S160),S160-Q160,IF(ISNUMBER(P160),Q160*(P160-1),"")),IF(U160="L",-Q160,IF(U160="Push",0,""))))</f>
        <v/>
      </c>
      <c r="W160">
        <f>IF(NOT(ISNUMBER(R160)),"",IF(U160="W",IF(ISNUMBER(P160),R160*(P160-1),""),IF(U160="L",-R160,IF(U160="Push",0,""))))</f>
        <v/>
      </c>
      <c r="X160" t="inlineStr">
        <is>
          <t>graded from final</t>
        </is>
      </c>
      <c r="Y160" t="inlineStr">
        <is>
          <t>N</t>
        </is>
      </c>
      <c r="Z160" t="inlineStr">
        <is>
          <t>https://x.com/stevewilldoit/status/2094727487750091134</t>
        </is>
      </c>
      <c r="AA160" t="inlineStr">
        <is>
          <t>6ix9ine picks</t>
        </is>
      </c>
      <c r="AB160" t="inlineStr">
        <is>
          <t>Single</t>
        </is>
      </c>
      <c r="AC160" s="5">
        <f>IF(ISNUMBER(V160),Q160,"")</f>
        <v/>
      </c>
      <c r="AD160">
        <f>IF(ISNUMBER(W160),R160,"")</f>
        <v/>
      </c>
    </row>
    <row r="161">
      <c r="A161" t="inlineStr">
        <is>
          <t>S-091134d</t>
        </is>
      </c>
      <c r="B161" t="inlineStr">
        <is>
          <t>Steve</t>
        </is>
      </c>
      <c r="C161" s="2" t="n">
        <v>46266.20978009259</v>
      </c>
      <c r="D161">
        <f>IF(C161="","",TEXT(C161,"dddd"))</f>
        <v/>
      </c>
      <c r="E161" s="3" t="n">
        <v>46266</v>
      </c>
      <c r="F161">
        <f>IF(E161="","",TEXT(E161,"dddd"))</f>
        <v/>
      </c>
      <c r="G161" t="inlineStr">
        <is>
          <t>6:45 PM</t>
        </is>
      </c>
      <c r="H161" t="inlineStr">
        <is>
          <t>N</t>
        </is>
      </c>
      <c r="I161" t="inlineStr"/>
      <c r="J161" t="inlineStr">
        <is>
          <t>MLB</t>
        </is>
      </c>
      <c r="K161" t="inlineStr">
        <is>
          <t>MLB</t>
        </is>
      </c>
      <c r="L161" t="inlineStr">
        <is>
          <t>ML</t>
        </is>
      </c>
      <c r="M161" t="inlineStr">
        <is>
          <t>Atlanta Braves ML</t>
        </is>
      </c>
      <c r="N161" t="n">
        <v>1</v>
      </c>
      <c r="O161" t="inlineStr">
        <is>
          <t>not shown</t>
        </is>
      </c>
      <c r="P161" s="4" t="inlineStr"/>
      <c r="Q161" s="5" t="n">
        <v>52000</v>
      </c>
      <c r="R161" t="inlineStr"/>
      <c r="S161" s="5" t="inlineStr">
        <is>
          <t>not shown</t>
        </is>
      </c>
      <c r="T161" t="inlineStr">
        <is>
          <t>Gamdom</t>
        </is>
      </c>
      <c r="U161" t="inlineStr">
        <is>
          <t>L</t>
        </is>
      </c>
      <c r="V161" s="5">
        <f>IF(NOT(ISNUMBER(Q161)),"",IF(U161="W",IF(ISNUMBER(S161),S161-Q161,IF(ISNUMBER(P161),Q161*(P161-1),"")),IF(U161="L",-Q161,IF(U161="Push",0,""))))</f>
        <v/>
      </c>
      <c r="W161">
        <f>IF(NOT(ISNUMBER(R161)),"",IF(U161="W",IF(ISNUMBER(P161),R161*(P161-1),""),IF(U161="L",-R161,IF(U161="Push",0,""))))</f>
        <v/>
      </c>
      <c r="X161" t="inlineStr">
        <is>
          <t>graded from final</t>
        </is>
      </c>
      <c r="Y161" t="inlineStr">
        <is>
          <t>N</t>
        </is>
      </c>
      <c r="Z161" t="inlineStr">
        <is>
          <t>https://x.com/stevewilldoit/status/2094727487750091134</t>
        </is>
      </c>
      <c r="AA161" t="inlineStr">
        <is>
          <t>"+ 52k on Atlanta braves" (slip not shown)</t>
        </is>
      </c>
      <c r="AB161" t="inlineStr">
        <is>
          <t>Single</t>
        </is>
      </c>
      <c r="AC161" s="5">
        <f>IF(ISNUMBER(V161),Q161,"")</f>
        <v/>
      </c>
      <c r="AD161">
        <f>IF(ISNUMBER(W161),R161,"")</f>
        <v/>
      </c>
    </row>
    <row r="162">
      <c r="A162" t="inlineStr">
        <is>
          <t>T-296314</t>
        </is>
      </c>
      <c r="B162" t="inlineStr">
        <is>
          <t>Trent</t>
        </is>
      </c>
      <c r="C162" s="2" t="n">
        <v>46266.43677083333</v>
      </c>
      <c r="D162">
        <f>IF(C162="","",TEXT(C162,"dddd"))</f>
        <v/>
      </c>
      <c r="E162" s="3" t="n">
        <v>46266</v>
      </c>
      <c r="F162">
        <f>IF(E162="","",TEXT(E162,"dddd"))</f>
        <v/>
      </c>
      <c r="G162" t="inlineStr">
        <is>
          <t>10:10 PM</t>
        </is>
      </c>
      <c r="H162" t="inlineStr">
        <is>
          <t>N</t>
        </is>
      </c>
      <c r="I162" t="inlineStr"/>
      <c r="J162" t="inlineStr">
        <is>
          <t>MLB</t>
        </is>
      </c>
      <c r="K162" t="inlineStr">
        <is>
          <t>MLB</t>
        </is>
      </c>
      <c r="L162" t="inlineStr">
        <is>
          <t>parlay</t>
        </is>
      </c>
      <c r="M162" t="inlineStr">
        <is>
          <t>Pirates ML; Guardians ML; Braves ML; Yankees ML; Dodgers ML</t>
        </is>
      </c>
      <c r="N162" t="n">
        <v>5</v>
      </c>
      <c r="O162" t="inlineStr">
        <is>
          <t>+900</t>
        </is>
      </c>
      <c r="P162" s="4" t="n">
        <v>10</v>
      </c>
      <c r="Q162" s="5" t="n">
        <v>1000</v>
      </c>
      <c r="R162" t="inlineStr"/>
      <c r="S162" s="5" t="n">
        <v>10000</v>
      </c>
      <c r="T162" t="inlineStr">
        <is>
          <t>Pikkit</t>
        </is>
      </c>
      <c r="U162" t="inlineStr">
        <is>
          <t>L</t>
        </is>
      </c>
      <c r="V162" s="5">
        <f>IF(NOT(ISNUMBER(Q162)),"",IF(U162="W",IF(ISNUMBER(S162),S162-Q162,IF(ISNUMBER(P162),Q162*(P162-1),"")),IF(U162="L",-Q162,IF(U162="Push",0,""))))</f>
        <v/>
      </c>
      <c r="W162">
        <f>IF(NOT(ISNUMBER(R162)),"",IF(U162="W",IF(ISNUMBER(P162),R162*(P162-1),""),IF(U162="L",-R162,IF(U162="Push",0,""))))</f>
        <v/>
      </c>
      <c r="X162" t="inlineStr">
        <is>
          <t>graded from final</t>
        </is>
      </c>
      <c r="Y162" t="inlineStr">
        <is>
          <t>N</t>
        </is>
      </c>
      <c r="Z162" t="inlineStr">
        <is>
          <t>https://x.com/BookitWithTrent/status/2094809745299296314</t>
        </is>
      </c>
      <c r="AA162" t="inlineStr">
        <is>
          <t>"Most confident Fugazi 5 I've made all year"</t>
        </is>
      </c>
      <c r="AB162" t="inlineStr">
        <is>
          <t>Parlay/multi-leg</t>
        </is>
      </c>
      <c r="AC162" s="5">
        <f>IF(ISNUMBER(V162),Q162,"")</f>
        <v/>
      </c>
      <c r="AD162">
        <f>IF(ISNUMBER(W162),R162,"")</f>
        <v/>
      </c>
    </row>
    <row r="163">
      <c r="A163" t="inlineStr">
        <is>
          <t>S-814833</t>
        </is>
      </c>
      <c r="B163" t="inlineStr">
        <is>
          <t>Steve</t>
        </is>
      </c>
      <c r="C163" s="2" t="n">
        <v>46266.72767361111</v>
      </c>
      <c r="D163">
        <f>IF(C163="","",TEXT(C163,"dddd"))</f>
        <v/>
      </c>
      <c r="E163" s="3" t="n">
        <v>46266</v>
      </c>
      <c r="F163">
        <f>IF(E163="","",TEXT(E163,"dddd"))</f>
        <v/>
      </c>
      <c r="G163" t="inlineStr">
        <is>
          <t>8:10 PM</t>
        </is>
      </c>
      <c r="H163" t="inlineStr">
        <is>
          <t>N</t>
        </is>
      </c>
      <c r="I163" t="inlineStr"/>
      <c r="J163" t="inlineStr">
        <is>
          <t>MLB</t>
        </is>
      </c>
      <c r="K163" t="inlineStr">
        <is>
          <t>MLB</t>
        </is>
      </c>
      <c r="L163" t="inlineStr">
        <is>
          <t>spread</t>
        </is>
      </c>
      <c r="M163" t="inlineStr">
        <is>
          <t>Chicago White Sox F5 handicap (0) vs Houston Astros</t>
        </is>
      </c>
      <c r="N163" t="n">
        <v>1</v>
      </c>
      <c r="O163" t="inlineStr">
        <is>
          <t>-118</t>
        </is>
      </c>
      <c r="P163" s="4" t="n">
        <v>1.8475</v>
      </c>
      <c r="Q163" s="5" t="n">
        <v>55000</v>
      </c>
      <c r="R163" t="inlineStr"/>
      <c r="S163" s="5" t="n">
        <v>101750</v>
      </c>
      <c r="T163" t="inlineStr">
        <is>
          <t>Gamdom</t>
        </is>
      </c>
      <c r="U163" t="inlineStr">
        <is>
          <t>W</t>
        </is>
      </c>
      <c r="V163" s="5">
        <f>IF(NOT(ISNUMBER(Q163)),"",IF(U163="W",IF(ISNUMBER(S163),S163-Q163,IF(ISNUMBER(P163),Q163*(P163-1),"")),IF(U163="L",-Q163,IF(U163="Push",0,""))))</f>
        <v/>
      </c>
      <c r="W163">
        <f>IF(NOT(ISNUMBER(R163)),"",IF(U163="W",IF(ISNUMBER(P163),R163*(P163-1),""),IF(U163="L",-R163,IF(U163="Push",0,""))))</f>
        <v/>
      </c>
      <c r="X163" t="inlineStr">
        <is>
          <t>graded from final</t>
        </is>
      </c>
      <c r="Y163" t="inlineStr">
        <is>
          <t>N</t>
        </is>
      </c>
      <c r="Z163" t="inlineStr">
        <is>
          <t>https://x.com/stevewilldoit/status/2094915166529814833</t>
        </is>
      </c>
      <c r="AA163" t="inlineStr"/>
      <c r="AB163" t="inlineStr">
        <is>
          <t>Single</t>
        </is>
      </c>
      <c r="AC163" s="5">
        <f>IF(ISNUMBER(V163),Q163,"")</f>
        <v/>
      </c>
      <c r="AD163">
        <f>IF(ISNUMBER(W163),R163,"")</f>
        <v/>
      </c>
    </row>
    <row r="164">
      <c r="A164" t="inlineStr">
        <is>
          <t>S-049128</t>
        </is>
      </c>
      <c r="B164" t="inlineStr">
        <is>
          <t>Steve</t>
        </is>
      </c>
      <c r="C164" s="2" t="n">
        <v>46266.74408564815</v>
      </c>
      <c r="D164">
        <f>IF(C164="","",TEXT(C164,"dddd"))</f>
        <v/>
      </c>
      <c r="E164" s="3" t="n">
        <v>46266</v>
      </c>
      <c r="F164">
        <f>IF(E164="","",TEXT(E164,"dddd"))</f>
        <v/>
      </c>
      <c r="G164" t="inlineStr">
        <is>
          <t>6:40 PM</t>
        </is>
      </c>
      <c r="H164" t="inlineStr">
        <is>
          <t>N</t>
        </is>
      </c>
      <c r="I164" t="inlineStr"/>
      <c r="J164" t="inlineStr">
        <is>
          <t>MLB</t>
        </is>
      </c>
      <c r="K164" t="inlineStr">
        <is>
          <t>MLB</t>
        </is>
      </c>
      <c r="L164" t="inlineStr">
        <is>
          <t>ML</t>
        </is>
      </c>
      <c r="M164" t="inlineStr">
        <is>
          <t>New York Mets ML vs Tampa Bay Rays</t>
        </is>
      </c>
      <c r="N164" t="n">
        <v>1</v>
      </c>
      <c r="O164" t="inlineStr">
        <is>
          <t>-105</t>
        </is>
      </c>
      <c r="P164" s="4" t="n">
        <v>1.9524</v>
      </c>
      <c r="Q164" s="5" t="n">
        <v>50000</v>
      </c>
      <c r="R164" t="inlineStr"/>
      <c r="S164" s="5" t="n">
        <v>97500</v>
      </c>
      <c r="T164" t="inlineStr">
        <is>
          <t>Gamdom</t>
        </is>
      </c>
      <c r="U164" t="inlineStr">
        <is>
          <t>L</t>
        </is>
      </c>
      <c r="V164" s="5">
        <f>IF(NOT(ISNUMBER(Q164)),"",IF(U164="W",IF(ISNUMBER(S164),S164-Q164,IF(ISNUMBER(P164),Q164*(P164-1),"")),IF(U164="L",-Q164,IF(U164="Push",0,""))))</f>
        <v/>
      </c>
      <c r="W164">
        <f>IF(NOT(ISNUMBER(R164)),"",IF(U164="W",IF(ISNUMBER(P164),R164*(P164-1),""),IF(U164="L",-R164,IF(U164="Push",0,""))))</f>
        <v/>
      </c>
      <c r="X164" t="inlineStr">
        <is>
          <t>graded from final</t>
        </is>
      </c>
      <c r="Y164" t="inlineStr">
        <is>
          <t>Y - tags Gamdom</t>
        </is>
      </c>
      <c r="Z164" t="inlineStr">
        <is>
          <t>https://x.com/stevewilldoit/status/2094921110991049128</t>
        </is>
      </c>
      <c r="AA164" t="inlineStr">
        <is>
          <t>AI guy pick</t>
        </is>
      </c>
      <c r="AB164" t="inlineStr">
        <is>
          <t>Single</t>
        </is>
      </c>
      <c r="AC164" s="5">
        <f>IF(ISNUMBER(V164),Q164,"")</f>
        <v/>
      </c>
      <c r="AD164">
        <f>IF(ISNUMBER(W164),R164,"")</f>
        <v/>
      </c>
    </row>
    <row r="165">
      <c r="A165" t="inlineStr">
        <is>
          <t>T-653089</t>
        </is>
      </c>
      <c r="B165" t="inlineStr">
        <is>
          <t>Trent</t>
        </is>
      </c>
      <c r="C165" s="2" t="n">
        <v>46267.46627314815</v>
      </c>
      <c r="D165">
        <f>IF(C165="","",TEXT(C165,"dddd"))</f>
        <v/>
      </c>
      <c r="E165" s="3" t="n">
        <v>46267</v>
      </c>
      <c r="F165">
        <f>IF(E165="","",TEXT(E165,"dddd"))</f>
        <v/>
      </c>
      <c r="G165" t="inlineStr">
        <is>
          <t>12:40 PM</t>
        </is>
      </c>
      <c r="H165" t="inlineStr">
        <is>
          <t>N</t>
        </is>
      </c>
      <c r="I165" t="inlineStr"/>
      <c r="J165" t="inlineStr">
        <is>
          <t>MLB</t>
        </is>
      </c>
      <c r="K165" t="inlineStr">
        <is>
          <t>MLB</t>
        </is>
      </c>
      <c r="L165" t="inlineStr">
        <is>
          <t>total</t>
        </is>
      </c>
      <c r="M165" t="inlineStr">
        <is>
          <t>Padres/Reds Over 9.5</t>
        </is>
      </c>
      <c r="N165" t="n">
        <v>1</v>
      </c>
      <c r="O165" t="inlineStr">
        <is>
          <t>-110</t>
        </is>
      </c>
      <c r="P165" s="4" t="n">
        <v>1.9091</v>
      </c>
      <c r="Q165" s="5" t="inlineStr"/>
      <c r="R165" t="inlineStr"/>
      <c r="S165" s="5" t="inlineStr"/>
      <c r="T165" t="inlineStr">
        <is>
          <t>not shown</t>
        </is>
      </c>
      <c r="U165" t="inlineStr">
        <is>
          <t>W</t>
        </is>
      </c>
      <c r="V165" s="5">
        <f>IF(NOT(ISNUMBER(Q165)),"",IF(U165="W",IF(ISNUMBER(S165),S165-Q165,IF(ISNUMBER(P165),Q165*(P165-1),"")),IF(U165="L",-Q165,IF(U165="Push",0,""))))</f>
        <v/>
      </c>
      <c r="W165">
        <f>IF(NOT(ISNUMBER(R165)),"",IF(U165="W",IF(ISNUMBER(P165),R165*(P165-1),""),IF(U165="L",-R165,IF(U165="Push",0,""))))</f>
        <v/>
      </c>
      <c r="X165" t="inlineStr">
        <is>
          <t>graded from final</t>
        </is>
      </c>
      <c r="Y165" t="inlineStr">
        <is>
          <t>N</t>
        </is>
      </c>
      <c r="Z165" t="inlineStr">
        <is>
          <t>https://x.com/BookitWithTrent/status/2095182824701653089</t>
        </is>
      </c>
      <c r="AA165" t="inlineStr">
        <is>
          <t>Daytime Baseball Whales card</t>
        </is>
      </c>
      <c r="AB165" t="inlineStr">
        <is>
          <t>Single</t>
        </is>
      </c>
      <c r="AC165" s="5">
        <f>IF(ISNUMBER(V165),Q165,"")</f>
        <v/>
      </c>
      <c r="AD165">
        <f>IF(ISNUMBER(W165),R165,"")</f>
        <v/>
      </c>
    </row>
    <row r="166">
      <c r="A166" t="inlineStr">
        <is>
          <t>T-653089b</t>
        </is>
      </c>
      <c r="B166" t="inlineStr">
        <is>
          <t>Trent</t>
        </is>
      </c>
      <c r="C166" s="2" t="n">
        <v>46267.46627314815</v>
      </c>
      <c r="D166">
        <f>IF(C166="","",TEXT(C166,"dddd"))</f>
        <v/>
      </c>
      <c r="E166" s="3" t="n">
        <v>46267</v>
      </c>
      <c r="F166">
        <f>IF(E166="","",TEXT(E166,"dddd"))</f>
        <v/>
      </c>
      <c r="G166" t="inlineStr">
        <is>
          <t>1:05 PM</t>
        </is>
      </c>
      <c r="H166" t="inlineStr">
        <is>
          <t>N</t>
        </is>
      </c>
      <c r="I166" t="inlineStr"/>
      <c r="J166" t="inlineStr">
        <is>
          <t>MLB</t>
        </is>
      </c>
      <c r="K166" t="inlineStr">
        <is>
          <t>MLB</t>
        </is>
      </c>
      <c r="L166" t="inlineStr">
        <is>
          <t>ML</t>
        </is>
      </c>
      <c r="M166" t="inlineStr">
        <is>
          <t>Braves ML</t>
        </is>
      </c>
      <c r="N166" t="n">
        <v>1</v>
      </c>
      <c r="O166" t="inlineStr">
        <is>
          <t>-135</t>
        </is>
      </c>
      <c r="P166" s="4" t="n">
        <v>1.7407</v>
      </c>
      <c r="Q166" s="5" t="inlineStr"/>
      <c r="R166" t="inlineStr"/>
      <c r="S166" s="5" t="inlineStr"/>
      <c r="T166" t="inlineStr">
        <is>
          <t>not shown</t>
        </is>
      </c>
      <c r="U166" t="inlineStr">
        <is>
          <t>W</t>
        </is>
      </c>
      <c r="V166" s="5">
        <f>IF(NOT(ISNUMBER(Q166)),"",IF(U166="W",IF(ISNUMBER(S166),S166-Q166,IF(ISNUMBER(P166),Q166*(P166-1),"")),IF(U166="L",-Q166,IF(U166="Push",0,""))))</f>
        <v/>
      </c>
      <c r="W166">
        <f>IF(NOT(ISNUMBER(R166)),"",IF(U166="W",IF(ISNUMBER(P166),R166*(P166-1),""),IF(U166="L",-R166,IF(U166="Push",0,""))))</f>
        <v/>
      </c>
      <c r="X166" t="inlineStr">
        <is>
          <t>graded from final</t>
        </is>
      </c>
      <c r="Y166" t="inlineStr">
        <is>
          <t>N</t>
        </is>
      </c>
      <c r="Z166" t="inlineStr">
        <is>
          <t>https://x.com/BookitWithTrent/status/2095182824701653089</t>
        </is>
      </c>
      <c r="AA166" t="inlineStr">
        <is>
          <t>Daytime Baseball Whales card</t>
        </is>
      </c>
      <c r="AB166" t="inlineStr">
        <is>
          <t>Single</t>
        </is>
      </c>
      <c r="AC166" s="5">
        <f>IF(ISNUMBER(V166),Q166,"")</f>
        <v/>
      </c>
      <c r="AD166">
        <f>IF(ISNUMBER(W166),R166,"")</f>
        <v/>
      </c>
    </row>
    <row r="167">
      <c r="A167" t="inlineStr">
        <is>
          <t>T-653089c</t>
        </is>
      </c>
      <c r="B167" t="inlineStr">
        <is>
          <t>Trent</t>
        </is>
      </c>
      <c r="C167" s="2" t="n">
        <v>46267.46627314815</v>
      </c>
      <c r="D167">
        <f>IF(C167="","",TEXT(C167,"dddd"))</f>
        <v/>
      </c>
      <c r="E167" s="3" t="n">
        <v>46267</v>
      </c>
      <c r="F167">
        <f>IF(E167="","",TEXT(E167,"dddd"))</f>
        <v/>
      </c>
      <c r="G167" t="inlineStr">
        <is>
          <t>2:35 PM</t>
        </is>
      </c>
      <c r="H167" t="inlineStr">
        <is>
          <t>N</t>
        </is>
      </c>
      <c r="I167" t="inlineStr"/>
      <c r="J167" t="inlineStr">
        <is>
          <t>MLB</t>
        </is>
      </c>
      <c r="K167" t="inlineStr">
        <is>
          <t>MLB</t>
        </is>
      </c>
      <c r="L167" t="inlineStr">
        <is>
          <t>total</t>
        </is>
      </c>
      <c r="M167" t="inlineStr">
        <is>
          <t>Rangers/Athletics Under 7.5</t>
        </is>
      </c>
      <c r="N167" t="n">
        <v>1</v>
      </c>
      <c r="O167" t="inlineStr">
        <is>
          <t>-105</t>
        </is>
      </c>
      <c r="P167" s="4" t="n">
        <v>1.9524</v>
      </c>
      <c r="Q167" s="5" t="inlineStr"/>
      <c r="R167" t="inlineStr"/>
      <c r="S167" s="5" t="inlineStr"/>
      <c r="T167" t="inlineStr">
        <is>
          <t>not shown</t>
        </is>
      </c>
      <c r="U167" t="inlineStr">
        <is>
          <t>L</t>
        </is>
      </c>
      <c r="V167" s="5">
        <f>IF(NOT(ISNUMBER(Q167)),"",IF(U167="W",IF(ISNUMBER(S167),S167-Q167,IF(ISNUMBER(P167),Q167*(P167-1),"")),IF(U167="L",-Q167,IF(U167="Push",0,""))))</f>
        <v/>
      </c>
      <c r="W167">
        <f>IF(NOT(ISNUMBER(R167)),"",IF(U167="W",IF(ISNUMBER(P167),R167*(P167-1),""),IF(U167="L",-R167,IF(U167="Push",0,""))))</f>
        <v/>
      </c>
      <c r="X167" t="inlineStr">
        <is>
          <t>graded from final</t>
        </is>
      </c>
      <c r="Y167" t="inlineStr">
        <is>
          <t>N</t>
        </is>
      </c>
      <c r="Z167" t="inlineStr">
        <is>
          <t>https://x.com/BookitWithTrent/status/2095182824701653089</t>
        </is>
      </c>
      <c r="AA167" t="inlineStr">
        <is>
          <t>Daytime Baseball Whales card</t>
        </is>
      </c>
      <c r="AB167" t="inlineStr">
        <is>
          <t>Single</t>
        </is>
      </c>
      <c r="AC167" s="5">
        <f>IF(ISNUMBER(V167),Q167,"")</f>
        <v/>
      </c>
      <c r="AD167">
        <f>IF(ISNUMBER(W167),R167,"")</f>
        <v/>
      </c>
    </row>
    <row r="168">
      <c r="A168" t="inlineStr">
        <is>
          <t>T-653089d</t>
        </is>
      </c>
      <c r="B168" t="inlineStr">
        <is>
          <t>Trent</t>
        </is>
      </c>
      <c r="C168" s="2" t="n">
        <v>46267.46627314815</v>
      </c>
      <c r="D168">
        <f>IF(C168="","",TEXT(C168,"dddd"))</f>
        <v/>
      </c>
      <c r="E168" s="3" t="n">
        <v>46267</v>
      </c>
      <c r="F168">
        <f>IF(E168="","",TEXT(E168,"dddd"))</f>
        <v/>
      </c>
      <c r="G168" t="inlineStr">
        <is>
          <t>3:10 PM</t>
        </is>
      </c>
      <c r="H168" t="inlineStr">
        <is>
          <t>N</t>
        </is>
      </c>
      <c r="I168" t="inlineStr"/>
      <c r="J168" t="inlineStr">
        <is>
          <t>MLB</t>
        </is>
      </c>
      <c r="K168" t="inlineStr">
        <is>
          <t>MLB</t>
        </is>
      </c>
      <c r="L168" t="inlineStr">
        <is>
          <t>spread</t>
        </is>
      </c>
      <c r="M168" t="inlineStr">
        <is>
          <t>Orioles -1.5</t>
        </is>
      </c>
      <c r="N168" t="n">
        <v>1</v>
      </c>
      <c r="O168" t="inlineStr">
        <is>
          <t>-105</t>
        </is>
      </c>
      <c r="P168" s="4" t="n">
        <v>1.9524</v>
      </c>
      <c r="Q168" s="5" t="inlineStr"/>
      <c r="R168" t="inlineStr"/>
      <c r="S168" s="5" t="inlineStr"/>
      <c r="T168" t="inlineStr">
        <is>
          <t>not shown</t>
        </is>
      </c>
      <c r="U168" t="inlineStr">
        <is>
          <t>L</t>
        </is>
      </c>
      <c r="V168" s="5">
        <f>IF(NOT(ISNUMBER(Q168)),"",IF(U168="W",IF(ISNUMBER(S168),S168-Q168,IF(ISNUMBER(P168),Q168*(P168-1),"")),IF(U168="L",-Q168,IF(U168="Push",0,""))))</f>
        <v/>
      </c>
      <c r="W168">
        <f>IF(NOT(ISNUMBER(R168)),"",IF(U168="W",IF(ISNUMBER(P168),R168*(P168-1),""),IF(U168="L",-R168,IF(U168="Push",0,""))))</f>
        <v/>
      </c>
      <c r="X168" t="inlineStr">
        <is>
          <t>graded from final</t>
        </is>
      </c>
      <c r="Y168" t="inlineStr">
        <is>
          <t>N</t>
        </is>
      </c>
      <c r="Z168" t="inlineStr">
        <is>
          <t>https://x.com/BookitWithTrent/status/2095182824701653089</t>
        </is>
      </c>
      <c r="AA168" t="inlineStr">
        <is>
          <t>Daytime Baseball Whales card</t>
        </is>
      </c>
      <c r="AB168" t="inlineStr">
        <is>
          <t>Single</t>
        </is>
      </c>
      <c r="AC168" s="5">
        <f>IF(ISNUMBER(V168),Q168,"")</f>
        <v/>
      </c>
      <c r="AD168">
        <f>IF(ISNUMBER(W168),R168,"")</f>
        <v/>
      </c>
    </row>
    <row r="169">
      <c r="A169" t="inlineStr">
        <is>
          <t>S-564899</t>
        </is>
      </c>
      <c r="B169" t="inlineStr">
        <is>
          <t>Steve</t>
        </is>
      </c>
      <c r="C169" s="2" t="n">
        <v>46267.51376157408</v>
      </c>
      <c r="D169">
        <f>IF(C169="","",TEXT(C169,"dddd"))</f>
        <v/>
      </c>
      <c r="E169" s="3" t="n">
        <v>46267</v>
      </c>
      <c r="F169">
        <f>IF(E169="","",TEXT(E169,"dddd"))</f>
        <v/>
      </c>
      <c r="G169" t="inlineStr">
        <is>
          <t>7:40 PM</t>
        </is>
      </c>
      <c r="H169" t="inlineStr">
        <is>
          <t>N</t>
        </is>
      </c>
      <c r="I169" t="inlineStr"/>
      <c r="J169" t="inlineStr">
        <is>
          <t>MLB</t>
        </is>
      </c>
      <c r="K169" t="inlineStr">
        <is>
          <t>MLB</t>
        </is>
      </c>
      <c r="L169" t="inlineStr">
        <is>
          <t>spread</t>
        </is>
      </c>
      <c r="M169" t="inlineStr">
        <is>
          <t>Milwaukee Brewers F5 handicap (0) vs Chicago Cubs</t>
        </is>
      </c>
      <c r="N169" t="n">
        <v>1</v>
      </c>
      <c r="O169" t="inlineStr">
        <is>
          <t>-172</t>
        </is>
      </c>
      <c r="P169" s="4" t="n">
        <v>1.5814</v>
      </c>
      <c r="Q169" s="5" t="n">
        <v>50000</v>
      </c>
      <c r="R169" t="inlineStr"/>
      <c r="S169" s="5" t="n">
        <v>79000</v>
      </c>
      <c r="T169" t="inlineStr">
        <is>
          <t>Gamdom</t>
        </is>
      </c>
      <c r="U169" t="inlineStr">
        <is>
          <t>W</t>
        </is>
      </c>
      <c r="V169" s="5">
        <f>IF(NOT(ISNUMBER(Q169)),"",IF(U169="W",IF(ISNUMBER(S169),S169-Q169,IF(ISNUMBER(P169),Q169*(P169-1),"")),IF(U169="L",-Q169,IF(U169="Push",0,""))))</f>
        <v/>
      </c>
      <c r="W169">
        <f>IF(NOT(ISNUMBER(R169)),"",IF(U169="W",IF(ISNUMBER(P169),R169*(P169-1),""),IF(U169="L",-R169,IF(U169="Push",0,""))))</f>
        <v/>
      </c>
      <c r="X169" t="inlineStr">
        <is>
          <t>graded from final</t>
        </is>
      </c>
      <c r="Y169" t="inlineStr">
        <is>
          <t>Y - tags Gamdom, promo/giveaway language</t>
        </is>
      </c>
      <c r="Z169" t="inlineStr">
        <is>
          <t>https://x.com/stevewilldoit/status/2095200034895564899</t>
        </is>
      </c>
      <c r="AA169" t="inlineStr">
        <is>
          <t>AI guy "Milwaukee F5 -1/2 -117"</t>
        </is>
      </c>
      <c r="AB169" t="inlineStr">
        <is>
          <t>Single</t>
        </is>
      </c>
      <c r="AC169" s="5">
        <f>IF(ISNUMBER(V169),Q169,"")</f>
        <v/>
      </c>
      <c r="AD169">
        <f>IF(ISNUMBER(W169),R169,"")</f>
        <v/>
      </c>
    </row>
    <row r="170">
      <c r="A170" t="inlineStr">
        <is>
          <t>S-528834</t>
        </is>
      </c>
      <c r="B170" t="inlineStr">
        <is>
          <t>Steve</t>
        </is>
      </c>
      <c r="C170" s="2" t="n">
        <v>46267.51629629629</v>
      </c>
      <c r="D170">
        <f>IF(C170="","",TEXT(C170,"dddd"))</f>
        <v/>
      </c>
      <c r="E170" s="3" t="n">
        <v>46267</v>
      </c>
      <c r="F170">
        <f>IF(E170="","",TEXT(E170,"dddd"))</f>
        <v/>
      </c>
      <c r="G170" t="inlineStr">
        <is>
          <t>7:40 PM</t>
        </is>
      </c>
      <c r="H170" t="inlineStr">
        <is>
          <t>N</t>
        </is>
      </c>
      <c r="I170" t="inlineStr"/>
      <c r="J170" t="inlineStr">
        <is>
          <t>MLB</t>
        </is>
      </c>
      <c r="K170" t="inlineStr">
        <is>
          <t>MLB</t>
        </is>
      </c>
      <c r="L170" t="inlineStr">
        <is>
          <t>parlay</t>
        </is>
      </c>
      <c r="M170" t="inlineStr">
        <is>
          <t>Brewers ML; Pirates ML; Athletics ML; Blue Jays ML</t>
        </is>
      </c>
      <c r="N170" t="n">
        <v>4</v>
      </c>
      <c r="O170" t="inlineStr">
        <is>
          <t>+1074</t>
        </is>
      </c>
      <c r="P170" s="4" t="n">
        <v>11.74</v>
      </c>
      <c r="Q170" s="5" t="n">
        <v>10000</v>
      </c>
      <c r="R170" t="inlineStr"/>
      <c r="S170" s="5" t="n">
        <v>117400</v>
      </c>
      <c r="T170" t="inlineStr">
        <is>
          <t>Gamdom</t>
        </is>
      </c>
      <c r="U170" t="inlineStr">
        <is>
          <t>L</t>
        </is>
      </c>
      <c r="V170" s="5">
        <f>IF(NOT(ISNUMBER(Q170)),"",IF(U170="W",IF(ISNUMBER(S170),S170-Q170,IF(ISNUMBER(P170),Q170*(P170-1),"")),IF(U170="L",-Q170,IF(U170="Push",0,""))))</f>
        <v/>
      </c>
      <c r="W170">
        <f>IF(NOT(ISNUMBER(R170)),"",IF(U170="W",IF(ISNUMBER(P170),R170*(P170-1),""),IF(U170="L",-R170,IF(U170="Push",0,""))))</f>
        <v/>
      </c>
      <c r="X170" t="inlineStr">
        <is>
          <t>graded from final</t>
        </is>
      </c>
      <c r="Y170" t="inlineStr">
        <is>
          <t>Y - tags Gamdom</t>
        </is>
      </c>
      <c r="Z170" t="inlineStr">
        <is>
          <t>https://x.com/stevewilldoit/status/2095200951879528834</t>
        </is>
      </c>
      <c r="AA170" t="inlineStr">
        <is>
          <t>"10k to win 117k"</t>
        </is>
      </c>
      <c r="AB170" t="inlineStr">
        <is>
          <t>Parlay/multi-leg</t>
        </is>
      </c>
      <c r="AC170" s="5">
        <f>IF(ISNUMBER(V170),Q170,"")</f>
        <v/>
      </c>
      <c r="AD170">
        <f>IF(ISNUMBER(W170),R170,"")</f>
        <v/>
      </c>
    </row>
    <row r="171">
      <c r="A171" t="inlineStr">
        <is>
          <t>S-296464</t>
        </is>
      </c>
      <c r="B171" t="inlineStr">
        <is>
          <t>Steve</t>
        </is>
      </c>
      <c r="C171" s="2" t="n">
        <v>46267.51952546297</v>
      </c>
      <c r="D171">
        <f>IF(C171="","",TEXT(C171,"dddd"))</f>
        <v/>
      </c>
      <c r="E171" s="3" t="n">
        <v>46267</v>
      </c>
      <c r="F171">
        <f>IF(E171="","",TEXT(E171,"dddd"))</f>
        <v/>
      </c>
      <c r="G171" t="inlineStr">
        <is>
          <t>2:35 PM</t>
        </is>
      </c>
      <c r="H171" t="inlineStr">
        <is>
          <t>N</t>
        </is>
      </c>
      <c r="I171" t="inlineStr"/>
      <c r="J171" t="inlineStr">
        <is>
          <t>MLB</t>
        </is>
      </c>
      <c r="K171" t="inlineStr">
        <is>
          <t>MLB</t>
        </is>
      </c>
      <c r="L171" t="inlineStr">
        <is>
          <t>spread</t>
        </is>
      </c>
      <c r="M171" t="inlineStr">
        <is>
          <t>Athletics +2.5 vs Texas Rangers</t>
        </is>
      </c>
      <c r="N171" t="n">
        <v>1</v>
      </c>
      <c r="O171" t="inlineStr">
        <is>
          <t>-233</t>
        </is>
      </c>
      <c r="P171" s="4" t="n">
        <v>1.4292</v>
      </c>
      <c r="Q171" s="5" t="n">
        <v>20277</v>
      </c>
      <c r="R171" t="inlineStr"/>
      <c r="S171" s="5" t="n">
        <v>28996.11</v>
      </c>
      <c r="T171" t="inlineStr">
        <is>
          <t>Gamdom</t>
        </is>
      </c>
      <c r="U171" t="inlineStr">
        <is>
          <t>W</t>
        </is>
      </c>
      <c r="V171" s="5">
        <f>IF(NOT(ISNUMBER(Q171)),"",IF(U171="W",IF(ISNUMBER(S171),S171-Q171,IF(ISNUMBER(P171),Q171*(P171-1),"")),IF(U171="L",-Q171,IF(U171="Push",0,""))))</f>
        <v/>
      </c>
      <c r="W171">
        <f>IF(NOT(ISNUMBER(R171)),"",IF(U171="W",IF(ISNUMBER(P171),R171*(P171-1),""),IF(U171="L",-R171,IF(U171="Push",0,""))))</f>
        <v/>
      </c>
      <c r="X171" t="inlineStr">
        <is>
          <t>graded from final</t>
        </is>
      </c>
      <c r="Y171" t="inlineStr">
        <is>
          <t>N</t>
        </is>
      </c>
      <c r="Z171" t="inlineStr">
        <is>
          <t>https://x.com/stevewilldoit/status/2095202120794296464</t>
        </is>
      </c>
      <c r="AA171" t="inlineStr">
        <is>
          <t>"20k for a free 8k" (posted twice)</t>
        </is>
      </c>
      <c r="AB171" t="inlineStr">
        <is>
          <t>Single</t>
        </is>
      </c>
      <c r="AC171" s="5">
        <f>IF(ISNUMBER(V171),Q171,"")</f>
        <v/>
      </c>
      <c r="AD171">
        <f>IF(ISNUMBER(W171),R171,"")</f>
        <v/>
      </c>
    </row>
    <row r="172">
      <c r="A172" t="inlineStr">
        <is>
          <t>S-329394</t>
        </is>
      </c>
      <c r="B172" t="inlineStr">
        <is>
          <t>Steve</t>
        </is>
      </c>
      <c r="C172" s="2" t="n">
        <v>46267.52471064815</v>
      </c>
      <c r="D172">
        <f>IF(C172="","",TEXT(C172,"dddd"))</f>
        <v/>
      </c>
      <c r="E172" s="3" t="n">
        <v>46267</v>
      </c>
      <c r="F172">
        <f>IF(E172="","",TEXT(E172,"dddd"))</f>
        <v/>
      </c>
      <c r="G172" t="inlineStr">
        <is>
          <t>9:38 PM</t>
        </is>
      </c>
      <c r="H172" t="inlineStr">
        <is>
          <t>N</t>
        </is>
      </c>
      <c r="I172" t="inlineStr"/>
      <c r="J172" t="inlineStr">
        <is>
          <t>MLB</t>
        </is>
      </c>
      <c r="K172" t="inlineStr">
        <is>
          <t>MLB</t>
        </is>
      </c>
      <c r="L172" t="inlineStr">
        <is>
          <t>ML</t>
        </is>
      </c>
      <c r="M172" t="inlineStr">
        <is>
          <t>New York Yankees ML vs LA Angels</t>
        </is>
      </c>
      <c r="N172" t="n">
        <v>1</v>
      </c>
      <c r="O172" t="inlineStr">
        <is>
          <t>-169</t>
        </is>
      </c>
      <c r="P172" s="4" t="n">
        <v>1.5917</v>
      </c>
      <c r="Q172" s="5" t="n">
        <v>100000</v>
      </c>
      <c r="R172" t="inlineStr"/>
      <c r="S172" s="5" t="n">
        <v>159000</v>
      </c>
      <c r="T172" t="inlineStr">
        <is>
          <t>Gamdom</t>
        </is>
      </c>
      <c r="U172" t="inlineStr">
        <is>
          <t>W</t>
        </is>
      </c>
      <c r="V172" s="5">
        <f>IF(NOT(ISNUMBER(Q172)),"",IF(U172="W",IF(ISNUMBER(S172),S172-Q172,IF(ISNUMBER(P172),Q172*(P172-1),"")),IF(U172="L",-Q172,IF(U172="Push",0,""))))</f>
        <v/>
      </c>
      <c r="W172">
        <f>IF(NOT(ISNUMBER(R172)),"",IF(U172="W",IF(ISNUMBER(P172),R172*(P172-1),""),IF(U172="L",-R172,IF(U172="Push",0,""))))</f>
        <v/>
      </c>
      <c r="X172" t="inlineStr">
        <is>
          <t>posted</t>
        </is>
      </c>
      <c r="Y172" t="inlineStr">
        <is>
          <t>N</t>
        </is>
      </c>
      <c r="Z172" t="inlineStr">
        <is>
          <t>https://x.com/stevewilldoit/status/2095204001889329394</t>
        </is>
      </c>
      <c r="AA172" t="inlineStr">
        <is>
          <t>"This is for 6ix9ine"; "Yankees won!!!"</t>
        </is>
      </c>
      <c r="AB172" t="inlineStr">
        <is>
          <t>Single</t>
        </is>
      </c>
      <c r="AC172" s="5">
        <f>IF(ISNUMBER(V172),Q172,"")</f>
        <v/>
      </c>
      <c r="AD172">
        <f>IF(ISNUMBER(W172),R172,"")</f>
        <v/>
      </c>
    </row>
    <row r="173">
      <c r="A173" t="inlineStr">
        <is>
          <t>S-094313</t>
        </is>
      </c>
      <c r="B173" t="inlineStr">
        <is>
          <t>Steve</t>
        </is>
      </c>
      <c r="C173" s="2" t="n">
        <v>46267.6947337963</v>
      </c>
      <c r="D173">
        <f>IF(C173="","",TEXT(C173,"dddd"))</f>
        <v/>
      </c>
      <c r="E173" s="3" t="n">
        <v>46267</v>
      </c>
      <c r="F173">
        <f>IF(E173="","",TEXT(E173,"dddd"))</f>
        <v/>
      </c>
      <c r="G173" t="inlineStr">
        <is>
          <t>7:40 PM</t>
        </is>
      </c>
      <c r="H173" t="inlineStr">
        <is>
          <t>N</t>
        </is>
      </c>
      <c r="I173" t="inlineStr"/>
      <c r="J173" t="inlineStr">
        <is>
          <t>MLB</t>
        </is>
      </c>
      <c r="K173" t="inlineStr">
        <is>
          <t>MLB</t>
        </is>
      </c>
      <c r="L173" t="inlineStr">
        <is>
          <t>spread</t>
        </is>
      </c>
      <c r="M173" t="inlineStr">
        <is>
          <t>Miami Marlins F5 handicap (0) vs Kansas City Royals</t>
        </is>
      </c>
      <c r="N173" t="n">
        <v>1</v>
      </c>
      <c r="O173" t="inlineStr">
        <is>
          <t>-109</t>
        </is>
      </c>
      <c r="P173" s="4" t="n">
        <v>1.9174</v>
      </c>
      <c r="Q173" s="5" t="n">
        <v>74000</v>
      </c>
      <c r="R173" t="inlineStr"/>
      <c r="S173" s="5" t="n">
        <v>142080</v>
      </c>
      <c r="T173" t="inlineStr">
        <is>
          <t>Gamdom</t>
        </is>
      </c>
      <c r="U173" t="inlineStr">
        <is>
          <t>L</t>
        </is>
      </c>
      <c r="V173" s="5">
        <f>IF(NOT(ISNUMBER(Q173)),"",IF(U173="W",IF(ISNUMBER(S173),S173-Q173,IF(ISNUMBER(P173),Q173*(P173-1),"")),IF(U173="L",-Q173,IF(U173="Push",0,""))))</f>
        <v/>
      </c>
      <c r="W173">
        <f>IF(NOT(ISNUMBER(R173)),"",IF(U173="W",IF(ISNUMBER(P173),R173*(P173-1),""),IF(U173="L",-R173,IF(U173="Push",0,""))))</f>
        <v/>
      </c>
      <c r="X173" t="inlineStr">
        <is>
          <t>graded from final</t>
        </is>
      </c>
      <c r="Y173" t="inlineStr">
        <is>
          <t>Y - tags Gamdom</t>
        </is>
      </c>
      <c r="Z173" t="inlineStr">
        <is>
          <t>https://x.com/stevewilldoit/status/2095265616626094313</t>
        </is>
      </c>
      <c r="AA173" t="inlineStr">
        <is>
          <t>AI guy "Miami F5 ML +100"</t>
        </is>
      </c>
      <c r="AB173" t="inlineStr">
        <is>
          <t>Single</t>
        </is>
      </c>
      <c r="AC173" s="5">
        <f>IF(ISNUMBER(V173),Q173,"")</f>
        <v/>
      </c>
      <c r="AD173">
        <f>IF(ISNUMBER(W173),R173,"")</f>
        <v/>
      </c>
    </row>
    <row r="174">
      <c r="A174" t="inlineStr">
        <is>
          <t>T-589754</t>
        </is>
      </c>
      <c r="B174" t="inlineStr">
        <is>
          <t>Trent</t>
        </is>
      </c>
      <c r="C174" s="2" t="n">
        <v>46267.7003125</v>
      </c>
      <c r="D174">
        <f>IF(C174="","",TEXT(C174,"dddd"))</f>
        <v/>
      </c>
      <c r="E174" s="3" t="n">
        <v>46267</v>
      </c>
      <c r="F174">
        <f>IF(E174="","",TEXT(E174,"dddd"))</f>
        <v/>
      </c>
      <c r="G174" t="inlineStr">
        <is>
          <t>10:10 PM</t>
        </is>
      </c>
      <c r="H174" t="inlineStr">
        <is>
          <t>N</t>
        </is>
      </c>
      <c r="I174" t="inlineStr"/>
      <c r="J174" t="inlineStr">
        <is>
          <t>MLB</t>
        </is>
      </c>
      <c r="K174" t="inlineStr">
        <is>
          <t>MLB</t>
        </is>
      </c>
      <c r="L174" t="inlineStr">
        <is>
          <t>parlay</t>
        </is>
      </c>
      <c r="M174" t="inlineStr">
        <is>
          <t>Blue Jays ML; Yankees ML; Dodgers ML; Astros ML; Brewers ML</t>
        </is>
      </c>
      <c r="N174" t="n">
        <v>5</v>
      </c>
      <c r="O174" t="inlineStr">
        <is>
          <t>+1000</t>
        </is>
      </c>
      <c r="P174" s="4" t="n">
        <v>11</v>
      </c>
      <c r="Q174" s="5" t="n">
        <v>1000</v>
      </c>
      <c r="R174" t="inlineStr"/>
      <c r="S174" s="5" t="n">
        <v>11000</v>
      </c>
      <c r="T174" t="inlineStr">
        <is>
          <t>Pikkit</t>
        </is>
      </c>
      <c r="U174" t="inlineStr">
        <is>
          <t>L</t>
        </is>
      </c>
      <c r="V174" s="5">
        <f>IF(NOT(ISNUMBER(Q174)),"",IF(U174="W",IF(ISNUMBER(S174),S174-Q174,IF(ISNUMBER(P174),Q174*(P174-1),"")),IF(U174="L",-Q174,IF(U174="Push",0,""))))</f>
        <v/>
      </c>
      <c r="W174">
        <f>IF(NOT(ISNUMBER(R174)),"",IF(U174="W",IF(ISNUMBER(P174),R174*(P174-1),""),IF(U174="L",-R174,IF(U174="Push",0,""))))</f>
        <v/>
      </c>
      <c r="X174" t="inlineStr">
        <is>
          <t>graded from final</t>
        </is>
      </c>
      <c r="Y174" t="inlineStr">
        <is>
          <t>N</t>
        </is>
      </c>
      <c r="Z174" t="inlineStr">
        <is>
          <t>https://x.com/BookitWithTrent/status/2095267637739589754</t>
        </is>
      </c>
      <c r="AA174" t="inlineStr">
        <is>
          <t>"Wagon Wednesday Fugazi 5"</t>
        </is>
      </c>
      <c r="AB174" t="inlineStr">
        <is>
          <t>Parlay/multi-leg</t>
        </is>
      </c>
      <c r="AC174" s="5">
        <f>IF(ISNUMBER(V174),Q174,"")</f>
        <v/>
      </c>
      <c r="AD174">
        <f>IF(ISNUMBER(W174),R174,"")</f>
        <v/>
      </c>
    </row>
    <row r="175">
      <c r="A175" t="inlineStr">
        <is>
          <t>T-102706</t>
        </is>
      </c>
      <c r="B175" t="inlineStr">
        <is>
          <t>Trent</t>
        </is>
      </c>
      <c r="C175" s="2" t="n">
        <v>46268.28466435185</v>
      </c>
      <c r="D175">
        <f>IF(C175="","",TEXT(C175,"dddd"))</f>
        <v/>
      </c>
      <c r="E175" s="3" t="n">
        <v>46268</v>
      </c>
      <c r="F175">
        <f>IF(E175="","",TEXT(E175,"dddd"))</f>
        <v/>
      </c>
      <c r="G175" t="inlineStr">
        <is>
          <t>not matched</t>
        </is>
      </c>
      <c r="H175" t="inlineStr">
        <is>
          <t>N</t>
        </is>
      </c>
      <c r="I175" t="inlineStr"/>
      <c r="J175" t="inlineStr">
        <is>
          <t>MLB</t>
        </is>
      </c>
      <c r="K175" t="inlineStr">
        <is>
          <t>MLB</t>
        </is>
      </c>
      <c r="L175" t="inlineStr">
        <is>
          <t>PrizePicks/DFS</t>
        </is>
      </c>
      <c r="M175" t="inlineStr">
        <is>
          <t>Juan Soto o1.5 H+R+RBI; Nick Gonzales o5 HFS; Kevin McGonigle o1.5 H+R+RBI; Cam Schlittler o8 K</t>
        </is>
      </c>
      <c r="N175" t="n">
        <v>4</v>
      </c>
      <c r="O175" t="inlineStr">
        <is>
          <t>not shown</t>
        </is>
      </c>
      <c r="P175" s="4" t="n">
        <v>10</v>
      </c>
      <c r="Q175" s="5" t="n">
        <v>1000</v>
      </c>
      <c r="R175" t="inlineStr"/>
      <c r="S175" s="5" t="n">
        <v>10000</v>
      </c>
      <c r="T175" t="inlineStr">
        <is>
          <t>PrizePicks</t>
        </is>
      </c>
      <c r="U175" t="inlineStr">
        <is>
          <t>L</t>
        </is>
      </c>
      <c r="V175" s="5">
        <f>IF(NOT(ISNUMBER(Q175)),"",IF(U175="W",IF(ISNUMBER(S175),S175-Q175,IF(ISNUMBER(P175),Q175*(P175-1),"")),IF(U175="L",-Q175,IF(U175="Push",0,""))))</f>
        <v/>
      </c>
      <c r="W175">
        <f>IF(NOT(ISNUMBER(R175)),"",IF(U175="W",IF(ISNUMBER(P175),R175*(P175-1),""),IF(U175="L",-R175,IF(U175="Push",0,""))))</f>
        <v/>
      </c>
      <c r="X175" t="inlineStr">
        <is>
          <t>posted</t>
        </is>
      </c>
      <c r="Y175" t="inlineStr">
        <is>
          <t>N</t>
        </is>
      </c>
      <c r="Z175" t="inlineStr">
        <is>
          <t>https://x.com/BookitWithTrent/status/2095479398791102706</t>
        </is>
      </c>
      <c r="AA175" t="inlineStr">
        <is>
          <t>Slip shows "Loss" (McGonigle finished with 1); Game date assumed = post date (CT); Decimal odds derived from payout/stake</t>
        </is>
      </c>
      <c r="AB175" t="inlineStr">
        <is>
          <t>Parlay/multi-leg</t>
        </is>
      </c>
      <c r="AC175" s="5">
        <f>IF(ISNUMBER(V175),Q175,"")</f>
        <v/>
      </c>
      <c r="AD175">
        <f>IF(ISNUMBER(W175),R175,"")</f>
        <v/>
      </c>
    </row>
    <row r="176">
      <c r="A176" t="inlineStr">
        <is>
          <t>T-380554</t>
        </is>
      </c>
      <c r="B176" t="inlineStr">
        <is>
          <t>Trent</t>
        </is>
      </c>
      <c r="C176" s="2" t="n">
        <v>46268.4265162037</v>
      </c>
      <c r="D176">
        <f>IF(C176="","",TEXT(C176,"dddd"))</f>
        <v/>
      </c>
      <c r="E176" s="3" t="n">
        <v>46268</v>
      </c>
      <c r="F176">
        <f>IF(E176="","",TEXT(E176,"dddd"))</f>
        <v/>
      </c>
      <c r="G176" t="inlineStr">
        <is>
          <t>not matched</t>
        </is>
      </c>
      <c r="H176" t="inlineStr">
        <is>
          <t>Unknown</t>
        </is>
      </c>
      <c r="I176" t="inlineStr">
        <is>
          <t>kickoff not matched</t>
        </is>
      </c>
      <c r="J176" t="inlineStr">
        <is>
          <t>NFL</t>
        </is>
      </c>
      <c r="K176" t="inlineStr">
        <is>
          <t>NFL</t>
        </is>
      </c>
      <c r="L176" t="inlineStr">
        <is>
          <t>futures</t>
        </is>
      </c>
      <c r="M176" t="inlineStr">
        <is>
          <t>Saquon Barkley o1074.5 rush yds; Justin Jefferson o1149.5 rec yds; Brock Bowers o925.5 rec yds; Dak Prescott o3999.5 pass yds; Joe Burrow o3924.5 pass yds</t>
        </is>
      </c>
      <c r="N176" t="n">
        <v>5</v>
      </c>
      <c r="O176" t="inlineStr">
        <is>
          <t>not shown</t>
        </is>
      </c>
      <c r="P176" s="4" t="n">
        <v>10</v>
      </c>
      <c r="Q176" s="5" t="n">
        <v>10000</v>
      </c>
      <c r="R176" t="inlineStr"/>
      <c r="S176" s="5" t="n">
        <v>100000</v>
      </c>
      <c r="T176" t="inlineStr">
        <is>
          <t>PrizePicks</t>
        </is>
      </c>
      <c r="U176" t="inlineStr">
        <is>
          <t>Pending</t>
        </is>
      </c>
      <c r="V176" s="5">
        <f>IF(NOT(ISNUMBER(Q176)),"",IF(U176="W",IF(ISNUMBER(S176),S176-Q176,IF(ISNUMBER(P176),Q176*(P176-1),"")),IF(U176="L",-Q176,IF(U176="Push",0,""))))</f>
        <v/>
      </c>
      <c r="W176">
        <f>IF(NOT(ISNUMBER(R176)),"",IF(U176="W",IF(ISNUMBER(P176),R176*(P176-1),""),IF(U176="L",-R176,IF(U176="Push",0,""))))</f>
        <v/>
      </c>
      <c r="X176" t="inlineStr">
        <is>
          <t>pending</t>
        </is>
      </c>
      <c r="Y176" t="inlineStr">
        <is>
          <t>N</t>
        </is>
      </c>
      <c r="Z176" t="inlineStr">
        <is>
          <t>https://x.com/BookitWithTrent/status/2095530803912380554</t>
        </is>
      </c>
      <c r="AA176" t="inlineStr">
        <is>
          <t>NFL season-long 5-pick flex play; Game date assumed = post date (CT); Decimal odds derived from payout/stake</t>
        </is>
      </c>
      <c r="AB176" t="inlineStr">
        <is>
          <t>Parlay/multi-leg</t>
        </is>
      </c>
      <c r="AC176" s="5">
        <f>IF(ISNUMBER(V176),Q176,"")</f>
        <v/>
      </c>
      <c r="AD176">
        <f>IF(ISNUMBER(W176),R176,"")</f>
        <v/>
      </c>
    </row>
    <row r="177">
      <c r="A177" t="inlineStr">
        <is>
          <t>T-150822</t>
        </is>
      </c>
      <c r="B177" t="inlineStr">
        <is>
          <t>Trent</t>
        </is>
      </c>
      <c r="C177" s="2" t="n">
        <v>46268.62743055556</v>
      </c>
      <c r="D177">
        <f>IF(C177="","",TEXT(C177,"dddd"))</f>
        <v/>
      </c>
      <c r="E177" s="3" t="n">
        <v>46268</v>
      </c>
      <c r="F177">
        <f>IF(E177="","",TEXT(E177,"dddd"))</f>
        <v/>
      </c>
      <c r="G177" t="inlineStr">
        <is>
          <t>8:00 PM</t>
        </is>
      </c>
      <c r="H177" t="inlineStr">
        <is>
          <t>Y</t>
        </is>
      </c>
      <c r="I177" t="inlineStr">
        <is>
          <t>CFB weeknight (Tue-Fri)</t>
        </is>
      </c>
      <c r="J177" t="inlineStr">
        <is>
          <t>CFB</t>
        </is>
      </c>
      <c r="K177" t="inlineStr">
        <is>
          <t>CFB</t>
        </is>
      </c>
      <c r="L177" t="inlineStr">
        <is>
          <t>spread</t>
        </is>
      </c>
      <c r="M177" t="inlineStr">
        <is>
          <t>Georgia Tech -6.5</t>
        </is>
      </c>
      <c r="N177" t="n">
        <v>1</v>
      </c>
      <c r="O177" t="inlineStr">
        <is>
          <t>not shown</t>
        </is>
      </c>
      <c r="P177" s="4" t="inlineStr"/>
      <c r="Q177" s="5" t="inlineStr"/>
      <c r="R177" t="inlineStr"/>
      <c r="S177" s="5" t="inlineStr"/>
      <c r="T177" t="inlineStr">
        <is>
          <t>not shown</t>
        </is>
      </c>
      <c r="U177" t="inlineStr">
        <is>
          <t>L</t>
        </is>
      </c>
      <c r="V177" s="5">
        <f>IF(NOT(ISNUMBER(Q177)),"",IF(U177="W",IF(ISNUMBER(S177),S177-Q177,IF(ISNUMBER(P177),Q177*(P177-1),"")),IF(U177="L",-Q177,IF(U177="Push",0,""))))</f>
        <v/>
      </c>
      <c r="W177">
        <f>IF(NOT(ISNUMBER(R177)),"",IF(U177="W",IF(ISNUMBER(P177),R177*(P177-1),""),IF(U177="L",-R177,IF(U177="Push",0,""))))</f>
        <v/>
      </c>
      <c r="X177" t="inlineStr">
        <is>
          <t>posted</t>
        </is>
      </c>
      <c r="Y177" t="inlineStr">
        <is>
          <t>N</t>
        </is>
      </c>
      <c r="Z177" t="inlineStr">
        <is>
          <t>https://x.com/BookitWithTrent/status/2095603614224150822</t>
        </is>
      </c>
      <c r="AA177" t="inlineStr">
        <is>
          <t>"Mortal mega max"; "this shit is so dead"; later listed as dead</t>
        </is>
      </c>
      <c r="AB177" t="inlineStr">
        <is>
          <t>Single</t>
        </is>
      </c>
      <c r="AC177" s="5">
        <f>IF(ISNUMBER(V177),Q177,"")</f>
        <v/>
      </c>
      <c r="AD177">
        <f>IF(ISNUMBER(W177),R177,"")</f>
        <v/>
      </c>
    </row>
    <row r="178">
      <c r="A178" t="inlineStr">
        <is>
          <t>T-377443</t>
        </is>
      </c>
      <c r="B178" t="inlineStr">
        <is>
          <t>Trent</t>
        </is>
      </c>
      <c r="C178" s="2" t="n">
        <v>46268.66471064815</v>
      </c>
      <c r="D178">
        <f>IF(C178="","",TEXT(C178,"dddd"))</f>
        <v/>
      </c>
      <c r="E178" s="3" t="n">
        <v>46268</v>
      </c>
      <c r="F178">
        <f>IF(E178="","",TEXT(E178,"dddd"))</f>
        <v/>
      </c>
      <c r="G178" t="inlineStr">
        <is>
          <t>not matched</t>
        </is>
      </c>
      <c r="H178" t="inlineStr">
        <is>
          <t>Unknown</t>
        </is>
      </c>
      <c r="I178" t="inlineStr">
        <is>
          <t>kickoff not matched</t>
        </is>
      </c>
      <c r="J178" t="inlineStr">
        <is>
          <t>CFB</t>
        </is>
      </c>
      <c r="K178" t="inlineStr">
        <is>
          <t>CFB</t>
        </is>
      </c>
      <c r="L178" t="inlineStr">
        <is>
          <t>futures</t>
        </is>
      </c>
      <c r="M178" t="inlineStr">
        <is>
          <t>UMass Under 2.5 wins (season)</t>
        </is>
      </c>
      <c r="N178" t="n">
        <v>1</v>
      </c>
      <c r="O178" t="inlineStr">
        <is>
          <t>not shown</t>
        </is>
      </c>
      <c r="P178" s="4" t="inlineStr"/>
      <c r="Q178" s="5" t="inlineStr"/>
      <c r="R178" t="inlineStr"/>
      <c r="S178" s="5" t="inlineStr"/>
      <c r="T178" t="inlineStr">
        <is>
          <t>not shown</t>
        </is>
      </c>
      <c r="U178" t="inlineStr">
        <is>
          <t>Pending</t>
        </is>
      </c>
      <c r="V178" s="5">
        <f>IF(NOT(ISNUMBER(Q178)),"",IF(U178="W",IF(ISNUMBER(S178),S178-Q178,IF(ISNUMBER(P178),Q178*(P178-1),"")),IF(U178="L",-Q178,IF(U178="Push",0,""))))</f>
        <v/>
      </c>
      <c r="W178">
        <f>IF(NOT(ISNUMBER(R178)),"",IF(U178="W",IF(ISNUMBER(P178),R178*(P178-1),""),IF(U178="L",-R178,IF(U178="Push",0,""))))</f>
        <v/>
      </c>
      <c r="X178" t="inlineStr">
        <is>
          <t>pending</t>
        </is>
      </c>
      <c r="Y178" t="inlineStr">
        <is>
          <t>N</t>
        </is>
      </c>
      <c r="Z178" t="inlineStr">
        <is>
          <t>https://x.com/BookitWithTrent/status/2095617123192377443</t>
        </is>
      </c>
      <c r="AA178" t="inlineStr">
        <is>
          <t>Non-monetary season-long wager with @krabs_bookit (loser takes ACT / does stand-up); Game date assumed = post date (CT)</t>
        </is>
      </c>
      <c r="AB178" t="inlineStr">
        <is>
          <t>Single</t>
        </is>
      </c>
      <c r="AC178" s="5">
        <f>IF(ISNUMBER(V178),Q178,"")</f>
        <v/>
      </c>
      <c r="AD178">
        <f>IF(ISNUMBER(W178),R178,"")</f>
        <v/>
      </c>
    </row>
    <row r="179">
      <c r="A179" t="inlineStr">
        <is>
          <t>S-098084</t>
        </is>
      </c>
      <c r="B179" t="inlineStr">
        <is>
          <t>Steve</t>
        </is>
      </c>
      <c r="C179" s="2" t="n">
        <v>46268.67167824074</v>
      </c>
      <c r="D179">
        <f>IF(C179="","",TEXT(C179,"dddd"))</f>
        <v/>
      </c>
      <c r="E179" s="3" t="n">
        <v>46268</v>
      </c>
      <c r="F179">
        <f>IF(E179="","",TEXT(E179,"dddd"))</f>
        <v/>
      </c>
      <c r="G179" t="inlineStr">
        <is>
          <t>7:15 PM</t>
        </is>
      </c>
      <c r="H179" t="inlineStr">
        <is>
          <t>N</t>
        </is>
      </c>
      <c r="I179" t="inlineStr"/>
      <c r="J179" t="inlineStr">
        <is>
          <t>MLB</t>
        </is>
      </c>
      <c r="K179" t="inlineStr">
        <is>
          <t>MLB</t>
        </is>
      </c>
      <c r="L179" t="inlineStr">
        <is>
          <t>total</t>
        </is>
      </c>
      <c r="M179" t="inlineStr">
        <is>
          <t>Cubs vs Brewers F5 Under 4.5</t>
        </is>
      </c>
      <c r="N179" t="n">
        <v>1</v>
      </c>
      <c r="O179" t="inlineStr">
        <is>
          <t>-130</t>
        </is>
      </c>
      <c r="P179" s="4" t="n">
        <v>1.7692</v>
      </c>
      <c r="Q179" s="5" t="n">
        <v>67873</v>
      </c>
      <c r="R179" t="inlineStr"/>
      <c r="S179" s="5" t="n">
        <v>120135.21</v>
      </c>
      <c r="T179" t="inlineStr">
        <is>
          <t>Gamdom</t>
        </is>
      </c>
      <c r="U179" t="inlineStr">
        <is>
          <t>W</t>
        </is>
      </c>
      <c r="V179" s="5">
        <f>IF(NOT(ISNUMBER(Q179)),"",IF(U179="W",IF(ISNUMBER(S179),S179-Q179,IF(ISNUMBER(P179),Q179*(P179-1),"")),IF(U179="L",-Q179,IF(U179="Push",0,""))))</f>
        <v/>
      </c>
      <c r="W179">
        <f>IF(NOT(ISNUMBER(R179)),"",IF(U179="W",IF(ISNUMBER(P179),R179*(P179-1),""),IF(U179="L",-R179,IF(U179="Push",0,""))))</f>
        <v/>
      </c>
      <c r="X179" t="inlineStr">
        <is>
          <t>graded from final</t>
        </is>
      </c>
      <c r="Y179" t="inlineStr">
        <is>
          <t>Y - tags Gamdom</t>
        </is>
      </c>
      <c r="Z179" t="inlineStr">
        <is>
          <t>https://x.com/stevewilldoit/status/2095619648335098084</t>
        </is>
      </c>
      <c r="AA179" t="inlineStr">
        <is>
          <t>AI guy "MIL-CHC F5 Under 4.5 -109"</t>
        </is>
      </c>
      <c r="AB179" t="inlineStr">
        <is>
          <t>Single</t>
        </is>
      </c>
      <c r="AC179" s="5">
        <f>IF(ISNUMBER(V179),Q179,"")</f>
        <v/>
      </c>
      <c r="AD179">
        <f>IF(ISNUMBER(W179),R179,"")</f>
        <v/>
      </c>
    </row>
    <row r="180">
      <c r="A180" t="inlineStr">
        <is>
          <t>S-769170</t>
        </is>
      </c>
      <c r="B180" t="inlineStr">
        <is>
          <t>Steve</t>
        </is>
      </c>
      <c r="C180" s="2" t="n">
        <v>46269.53591435185</v>
      </c>
      <c r="D180">
        <f>IF(C180="","",TEXT(C180,"dddd"))</f>
        <v/>
      </c>
      <c r="E180" s="3" t="n">
        <v>46269</v>
      </c>
      <c r="F180">
        <f>IF(E180="","",TEXT(E180,"dddd"))</f>
        <v/>
      </c>
      <c r="G180" t="inlineStr">
        <is>
          <t>6:10 PM</t>
        </is>
      </c>
      <c r="H180" t="inlineStr">
        <is>
          <t>N</t>
        </is>
      </c>
      <c r="I180" t="inlineStr"/>
      <c r="J180" t="inlineStr">
        <is>
          <t>MLB</t>
        </is>
      </c>
      <c r="K180" t="inlineStr">
        <is>
          <t>MLB</t>
        </is>
      </c>
      <c r="L180" t="inlineStr">
        <is>
          <t>spread</t>
        </is>
      </c>
      <c r="M180" t="inlineStr">
        <is>
          <t>Milwaukee Brewers F5 +0.5 vs Cincinnati Reds</t>
        </is>
      </c>
      <c r="N180" t="n">
        <v>1</v>
      </c>
      <c r="O180" t="inlineStr">
        <is>
          <t>-200</t>
        </is>
      </c>
      <c r="P180" s="4" t="n">
        <v>1.5</v>
      </c>
      <c r="Q180" s="5" t="n">
        <v>100000</v>
      </c>
      <c r="R180" t="inlineStr"/>
      <c r="S180" s="5" t="n">
        <v>150000</v>
      </c>
      <c r="T180" t="inlineStr">
        <is>
          <t>Gamdom</t>
        </is>
      </c>
      <c r="U180" t="inlineStr">
        <is>
          <t>W</t>
        </is>
      </c>
      <c r="V180" s="5">
        <f>IF(NOT(ISNUMBER(Q180)),"",IF(U180="W",IF(ISNUMBER(S180),S180-Q180,IF(ISNUMBER(P180),Q180*(P180-1),"")),IF(U180="L",-Q180,IF(U180="Push",0,""))))</f>
        <v/>
      </c>
      <c r="W180">
        <f>IF(NOT(ISNUMBER(R180)),"",IF(U180="W",IF(ISNUMBER(P180),R180*(P180-1),""),IF(U180="L",-R180,IF(U180="Push",0,""))))</f>
        <v/>
      </c>
      <c r="X180" t="inlineStr">
        <is>
          <t>posted</t>
        </is>
      </c>
      <c r="Y180" t="inlineStr">
        <is>
          <t>Y - tags Gamdom</t>
        </is>
      </c>
      <c r="Z180" t="inlineStr">
        <is>
          <t>https://x.com/stevewilldoit/status/2095932835223769170</t>
        </is>
      </c>
      <c r="AA180" t="inlineStr">
        <is>
          <t>"My lock of the day"; reply "W"</t>
        </is>
      </c>
      <c r="AB180" t="inlineStr">
        <is>
          <t>Single</t>
        </is>
      </c>
      <c r="AC180" s="5">
        <f>IF(ISNUMBER(V180),Q180,"")</f>
        <v/>
      </c>
      <c r="AD180">
        <f>IF(ISNUMBER(W180),R180,"")</f>
        <v/>
      </c>
    </row>
    <row r="181">
      <c r="A181" t="inlineStr">
        <is>
          <t>S-921091</t>
        </is>
      </c>
      <c r="B181" t="inlineStr">
        <is>
          <t>Steve</t>
        </is>
      </c>
      <c r="C181" s="2" t="n">
        <v>46269.65672453704</v>
      </c>
      <c r="D181">
        <f>IF(C181="","",TEXT(C181,"dddd"))</f>
        <v/>
      </c>
      <c r="E181" s="3" t="n">
        <v>46269</v>
      </c>
      <c r="F181">
        <f>IF(E181="","",TEXT(E181,"dddd"))</f>
        <v/>
      </c>
      <c r="G181" t="inlineStr">
        <is>
          <t>not matched</t>
        </is>
      </c>
      <c r="H181" t="inlineStr">
        <is>
          <t>N</t>
        </is>
      </c>
      <c r="I181" t="inlineStr"/>
      <c r="J181" t="inlineStr">
        <is>
          <t>Tennis</t>
        </is>
      </c>
      <c r="K181" t="inlineStr">
        <is>
          <t>US Open</t>
        </is>
      </c>
      <c r="L181" t="inlineStr">
        <is>
          <t>ML</t>
        </is>
      </c>
      <c r="M181" t="inlineStr">
        <is>
          <t>Denis Shapovalov ML vs Ben Shelton</t>
        </is>
      </c>
      <c r="N181" t="n">
        <v>1</v>
      </c>
      <c r="O181" t="inlineStr">
        <is>
          <t>+320</t>
        </is>
      </c>
      <c r="P181" s="4" t="n">
        <v>4.2</v>
      </c>
      <c r="Q181" s="5" t="n">
        <v>46573.27</v>
      </c>
      <c r="R181" t="inlineStr"/>
      <c r="S181" s="5" t="n">
        <v>195607.73</v>
      </c>
      <c r="T181" t="inlineStr">
        <is>
          <t>Gamdom</t>
        </is>
      </c>
      <c r="U181" t="inlineStr">
        <is>
          <t>L</t>
        </is>
      </c>
      <c r="V181" s="5">
        <f>IF(NOT(ISNUMBER(Q181)),"",IF(U181="W",IF(ISNUMBER(S181),S181-Q181,IF(ISNUMBER(P181),Q181*(P181-1),"")),IF(U181="L",-Q181,IF(U181="Push",0,""))))</f>
        <v/>
      </c>
      <c r="W181">
        <f>IF(NOT(ISNUMBER(R181)),"",IF(U181="W",IF(ISNUMBER(P181),R181*(P181-1),""),IF(U181="L",-R181,IF(U181="Push",0,""))))</f>
        <v/>
      </c>
      <c r="X181" t="inlineStr">
        <is>
          <t>graded from final</t>
        </is>
      </c>
      <c r="Y181" t="inlineStr">
        <is>
          <t>Y - tags Gamdom</t>
        </is>
      </c>
      <c r="Z181" t="inlineStr">
        <is>
          <t>https://x.com/stevewilldoit/status/2095976615909921091</t>
        </is>
      </c>
      <c r="AA181" t="inlineStr">
        <is>
          <t>"Pepino's lock of century"; Shelton won 7-6, 6-7, 6-2, 6-4; Game date assumed = post date (CT)</t>
        </is>
      </c>
      <c r="AB181" t="inlineStr">
        <is>
          <t>Single</t>
        </is>
      </c>
      <c r="AC181" s="5">
        <f>IF(ISNUMBER(V181),Q181,"")</f>
        <v/>
      </c>
      <c r="AD181">
        <f>IF(ISNUMBER(W181),R181,"")</f>
        <v/>
      </c>
    </row>
    <row r="182">
      <c r="A182" t="inlineStr">
        <is>
          <t>T-885380</t>
        </is>
      </c>
      <c r="B182" t="inlineStr">
        <is>
          <t>Trent</t>
        </is>
      </c>
      <c r="C182" s="2" t="n">
        <v>46269.66813657407</v>
      </c>
      <c r="D182">
        <f>IF(C182="","",TEXT(C182,"dddd"))</f>
        <v/>
      </c>
      <c r="E182" s="3" t="n">
        <v>46269</v>
      </c>
      <c r="F182">
        <f>IF(E182="","",TEXT(E182,"dddd"))</f>
        <v/>
      </c>
      <c r="G182" t="inlineStr">
        <is>
          <t>6:30 PM</t>
        </is>
      </c>
      <c r="H182" t="inlineStr">
        <is>
          <t>N</t>
        </is>
      </c>
      <c r="I182" t="inlineStr"/>
      <c r="J182" t="inlineStr">
        <is>
          <t>CFB</t>
        </is>
      </c>
      <c r="K182" t="inlineStr">
        <is>
          <t>CFB</t>
        </is>
      </c>
      <c r="L182" t="inlineStr">
        <is>
          <t>spread</t>
        </is>
      </c>
      <c r="M182" t="inlineStr">
        <is>
          <t>San Jose State +2.5</t>
        </is>
      </c>
      <c r="N182" t="n">
        <v>1</v>
      </c>
      <c r="O182" t="inlineStr">
        <is>
          <t>not shown</t>
        </is>
      </c>
      <c r="P182" s="4" t="inlineStr"/>
      <c r="Q182" s="5" t="inlineStr"/>
      <c r="R182" t="inlineStr"/>
      <c r="S182" s="5" t="inlineStr"/>
      <c r="T182" t="inlineStr">
        <is>
          <t>not shown</t>
        </is>
      </c>
      <c r="U182" t="inlineStr">
        <is>
          <t>W</t>
        </is>
      </c>
      <c r="V182" s="5">
        <f>IF(NOT(ISNUMBER(Q182)),"",IF(U182="W",IF(ISNUMBER(S182),S182-Q182,IF(ISNUMBER(P182),Q182*(P182-1),"")),IF(U182="L",-Q182,IF(U182="Push",0,""))))</f>
        <v/>
      </c>
      <c r="W182">
        <f>IF(NOT(ISNUMBER(R182)),"",IF(U182="W",IF(ISNUMBER(P182),R182*(P182-1),""),IF(U182="L",-R182,IF(U182="Push",0,""))))</f>
        <v/>
      </c>
      <c r="X182" t="inlineStr">
        <is>
          <t>graded from final</t>
        </is>
      </c>
      <c r="Y182" t="inlineStr">
        <is>
          <t>N</t>
        </is>
      </c>
      <c r="Z182" t="inlineStr">
        <is>
          <t>https://x.com/BookitWithTrent/status/2095980753066885380</t>
        </is>
      </c>
      <c r="AA182" t="inlineStr">
        <is>
          <t>"Whales at the sportsbook" card</t>
        </is>
      </c>
      <c r="AB182" t="inlineStr">
        <is>
          <t>Single</t>
        </is>
      </c>
      <c r="AC182" s="5">
        <f>IF(ISNUMBER(V182),Q182,"")</f>
        <v/>
      </c>
      <c r="AD182">
        <f>IF(ISNUMBER(W182),R182,"")</f>
        <v/>
      </c>
    </row>
    <row r="183">
      <c r="A183" t="inlineStr">
        <is>
          <t>T-885380b</t>
        </is>
      </c>
      <c r="B183" t="inlineStr">
        <is>
          <t>Trent</t>
        </is>
      </c>
      <c r="C183" s="2" t="n">
        <v>46269.66813657407</v>
      </c>
      <c r="D183">
        <f>IF(C183="","",TEXT(C183,"dddd"))</f>
        <v/>
      </c>
      <c r="E183" s="3" t="n">
        <v>46269</v>
      </c>
      <c r="F183">
        <f>IF(E183="","",TEXT(E183,"dddd"))</f>
        <v/>
      </c>
      <c r="G183" t="inlineStr">
        <is>
          <t>9:00 PM</t>
        </is>
      </c>
      <c r="H183" t="inlineStr">
        <is>
          <t>Y</t>
        </is>
      </c>
      <c r="I183" t="inlineStr">
        <is>
          <t>CFB weeknight (Tue-Fri)</t>
        </is>
      </c>
      <c r="J183" t="inlineStr">
        <is>
          <t>CFB</t>
        </is>
      </c>
      <c r="K183" t="inlineStr">
        <is>
          <t>CFB</t>
        </is>
      </c>
      <c r="L183" t="inlineStr">
        <is>
          <t>spread</t>
        </is>
      </c>
      <c r="M183" t="inlineStr">
        <is>
          <t>Stanford +25.5</t>
        </is>
      </c>
      <c r="N183" t="n">
        <v>1</v>
      </c>
      <c r="O183" t="inlineStr">
        <is>
          <t>not shown</t>
        </is>
      </c>
      <c r="P183" s="4" t="inlineStr"/>
      <c r="Q183" s="5" t="inlineStr"/>
      <c r="R183" t="inlineStr"/>
      <c r="S183" s="5" t="inlineStr"/>
      <c r="T183" t="inlineStr">
        <is>
          <t>not shown</t>
        </is>
      </c>
      <c r="U183" t="inlineStr">
        <is>
          <t>L</t>
        </is>
      </c>
      <c r="V183" s="5">
        <f>IF(NOT(ISNUMBER(Q183)),"",IF(U183="W",IF(ISNUMBER(S183),S183-Q183,IF(ISNUMBER(P183),Q183*(P183-1),"")),IF(U183="L",-Q183,IF(U183="Push",0,""))))</f>
        <v/>
      </c>
      <c r="W183">
        <f>IF(NOT(ISNUMBER(R183)),"",IF(U183="W",IF(ISNUMBER(P183),R183*(P183-1),""),IF(U183="L",-R183,IF(U183="Push",0,""))))</f>
        <v/>
      </c>
      <c r="X183" t="inlineStr">
        <is>
          <t>graded from final</t>
        </is>
      </c>
      <c r="Y183" t="inlineStr">
        <is>
          <t>N</t>
        </is>
      </c>
      <c r="Z183" t="inlineStr">
        <is>
          <t>https://x.com/BookitWithTrent/status/2095980753066885380</t>
        </is>
      </c>
      <c r="AA183" t="inlineStr">
        <is>
          <t>"Whales" card</t>
        </is>
      </c>
      <c r="AB183" t="inlineStr">
        <is>
          <t>Single</t>
        </is>
      </c>
      <c r="AC183" s="5">
        <f>IF(ISNUMBER(V183),Q183,"")</f>
        <v/>
      </c>
      <c r="AD183">
        <f>IF(ISNUMBER(W183),R183,"")</f>
        <v/>
      </c>
    </row>
    <row r="184">
      <c r="A184" t="inlineStr">
        <is>
          <t>T-885380c</t>
        </is>
      </c>
      <c r="B184" t="inlineStr">
        <is>
          <t>Trent</t>
        </is>
      </c>
      <c r="C184" s="2" t="n">
        <v>46269.66813657407</v>
      </c>
      <c r="D184">
        <f>IF(C184="","",TEXT(C184,"dddd"))</f>
        <v/>
      </c>
      <c r="E184" s="3" t="n">
        <v>46269</v>
      </c>
      <c r="F184">
        <f>IF(E184="","",TEXT(E184,"dddd"))</f>
        <v/>
      </c>
      <c r="G184" t="inlineStr">
        <is>
          <t>8:00 PM</t>
        </is>
      </c>
      <c r="H184" t="inlineStr">
        <is>
          <t>Y</t>
        </is>
      </c>
      <c r="I184" t="inlineStr">
        <is>
          <t>CFB weeknight (Tue-Fri)</t>
        </is>
      </c>
      <c r="J184" t="inlineStr">
        <is>
          <t>CFB</t>
        </is>
      </c>
      <c r="K184" t="inlineStr">
        <is>
          <t>CFB</t>
        </is>
      </c>
      <c r="L184" t="inlineStr">
        <is>
          <t>spread</t>
        </is>
      </c>
      <c r="M184" t="inlineStr">
        <is>
          <t>Michigan State -9.5</t>
        </is>
      </c>
      <c r="N184" t="n">
        <v>1</v>
      </c>
      <c r="O184" t="inlineStr">
        <is>
          <t>not shown</t>
        </is>
      </c>
      <c r="P184" s="4" t="inlineStr"/>
      <c r="Q184" s="5" t="inlineStr"/>
      <c r="R184" t="inlineStr"/>
      <c r="S184" s="5" t="inlineStr"/>
      <c r="T184" t="inlineStr">
        <is>
          <t>not shown</t>
        </is>
      </c>
      <c r="U184" t="inlineStr">
        <is>
          <t>W</t>
        </is>
      </c>
      <c r="V184" s="5">
        <f>IF(NOT(ISNUMBER(Q184)),"",IF(U184="W",IF(ISNUMBER(S184),S184-Q184,IF(ISNUMBER(P184),Q184*(P184-1),"")),IF(U184="L",-Q184,IF(U184="Push",0,""))))</f>
        <v/>
      </c>
      <c r="W184">
        <f>IF(NOT(ISNUMBER(R184)),"",IF(U184="W",IF(ISNUMBER(P184),R184*(P184-1),""),IF(U184="L",-R184,IF(U184="Push",0,""))))</f>
        <v/>
      </c>
      <c r="X184" t="inlineStr">
        <is>
          <t>graded from final</t>
        </is>
      </c>
      <c r="Y184" t="inlineStr">
        <is>
          <t>N</t>
        </is>
      </c>
      <c r="Z184" t="inlineStr">
        <is>
          <t>https://x.com/BookitWithTrent/status/2095980753066885380</t>
        </is>
      </c>
      <c r="AA184" t="inlineStr">
        <is>
          <t>"Whales" card</t>
        </is>
      </c>
      <c r="AB184" t="inlineStr">
        <is>
          <t>Single</t>
        </is>
      </c>
      <c r="AC184" s="5">
        <f>IF(ISNUMBER(V184),Q184,"")</f>
        <v/>
      </c>
      <c r="AD184">
        <f>IF(ISNUMBER(W184),R184,"")</f>
        <v/>
      </c>
    </row>
    <row r="185">
      <c r="A185" t="inlineStr">
        <is>
          <t>T-885380d</t>
        </is>
      </c>
      <c r="B185" t="inlineStr">
        <is>
          <t>Trent</t>
        </is>
      </c>
      <c r="C185" s="2" t="n">
        <v>46269.66813657407</v>
      </c>
      <c r="D185">
        <f>IF(C185="","",TEXT(C185,"dddd"))</f>
        <v/>
      </c>
      <c r="E185" s="3" t="n">
        <v>46269</v>
      </c>
      <c r="F185">
        <f>IF(E185="","",TEXT(E185,"dddd"))</f>
        <v/>
      </c>
      <c r="G185" t="inlineStr">
        <is>
          <t>9:00 PM</t>
        </is>
      </c>
      <c r="H185" t="inlineStr">
        <is>
          <t>Y</t>
        </is>
      </c>
      <c r="I185" t="inlineStr">
        <is>
          <t>CFB weeknight (Tue-Fri)</t>
        </is>
      </c>
      <c r="J185" t="inlineStr">
        <is>
          <t>CFB</t>
        </is>
      </c>
      <c r="K185" t="inlineStr">
        <is>
          <t>CFB</t>
        </is>
      </c>
      <c r="L185" t="inlineStr">
        <is>
          <t>spread</t>
        </is>
      </c>
      <c r="M185" t="inlineStr">
        <is>
          <t>USC -21.5</t>
        </is>
      </c>
      <c r="N185" t="n">
        <v>1</v>
      </c>
      <c r="O185" t="inlineStr">
        <is>
          <t>not shown</t>
        </is>
      </c>
      <c r="P185" s="4" t="inlineStr"/>
      <c r="Q185" s="5" t="inlineStr"/>
      <c r="R185" t="inlineStr"/>
      <c r="S185" s="5" t="inlineStr"/>
      <c r="T185" t="inlineStr">
        <is>
          <t>not shown</t>
        </is>
      </c>
      <c r="U185" t="inlineStr">
        <is>
          <t>W</t>
        </is>
      </c>
      <c r="V185" s="5">
        <f>IF(NOT(ISNUMBER(Q185)),"",IF(U185="W",IF(ISNUMBER(S185),S185-Q185,IF(ISNUMBER(P185),Q185*(P185-1),"")),IF(U185="L",-Q185,IF(U185="Push",0,""))))</f>
        <v/>
      </c>
      <c r="W185">
        <f>IF(NOT(ISNUMBER(R185)),"",IF(U185="W",IF(ISNUMBER(P185),R185*(P185-1),""),IF(U185="L",-R185,IF(U185="Push",0,""))))</f>
        <v/>
      </c>
      <c r="X185" t="inlineStr">
        <is>
          <t>graded from final</t>
        </is>
      </c>
      <c r="Y185" t="inlineStr">
        <is>
          <t>N</t>
        </is>
      </c>
      <c r="Z185" t="inlineStr">
        <is>
          <t>https://x.com/BookitWithTrent/status/2095980753066885380</t>
        </is>
      </c>
      <c r="AA185" t="inlineStr">
        <is>
          <t>"Whales" card</t>
        </is>
      </c>
      <c r="AB185" t="inlineStr">
        <is>
          <t>Single</t>
        </is>
      </c>
      <c r="AC185" s="5">
        <f>IF(ISNUMBER(V185),Q185,"")</f>
        <v/>
      </c>
      <c r="AD185">
        <f>IF(ISNUMBER(W185),R185,"")</f>
        <v/>
      </c>
    </row>
    <row r="186">
      <c r="A186" t="inlineStr">
        <is>
          <t>S-391424</t>
        </is>
      </c>
      <c r="B186" t="inlineStr">
        <is>
          <t>Steve</t>
        </is>
      </c>
      <c r="C186" s="2" t="n">
        <v>46269.72414351852</v>
      </c>
      <c r="D186">
        <f>IF(C186="","",TEXT(C186,"dddd"))</f>
        <v/>
      </c>
      <c r="E186" s="3" t="n">
        <v>46269</v>
      </c>
      <c r="F186">
        <f>IF(E186="","",TEXT(E186,"dddd"))</f>
        <v/>
      </c>
      <c r="G186" t="inlineStr">
        <is>
          <t>7:10 PM</t>
        </is>
      </c>
      <c r="H186" t="inlineStr">
        <is>
          <t>N</t>
        </is>
      </c>
      <c r="I186" t="inlineStr"/>
      <c r="J186" t="inlineStr">
        <is>
          <t>MLB</t>
        </is>
      </c>
      <c r="K186" t="inlineStr">
        <is>
          <t>MLB</t>
        </is>
      </c>
      <c r="L186" t="inlineStr">
        <is>
          <t>spread</t>
        </is>
      </c>
      <c r="M186" t="inlineStr">
        <is>
          <t>Chicago Cubs F5 handicap (0) vs Miami Marlins</t>
        </is>
      </c>
      <c r="N186" t="n">
        <v>1</v>
      </c>
      <c r="O186" t="inlineStr">
        <is>
          <t>-172</t>
        </is>
      </c>
      <c r="P186" s="4" t="n">
        <v>1.5814</v>
      </c>
      <c r="Q186" s="5" t="n">
        <v>75000</v>
      </c>
      <c r="R186" t="inlineStr"/>
      <c r="S186" s="5" t="n">
        <v>118500</v>
      </c>
      <c r="T186" t="inlineStr">
        <is>
          <t>Gamdom</t>
        </is>
      </c>
      <c r="U186" t="inlineStr">
        <is>
          <t>W</t>
        </is>
      </c>
      <c r="V186" s="5">
        <f>IF(NOT(ISNUMBER(Q186)),"",IF(U186="W",IF(ISNUMBER(S186),S186-Q186,IF(ISNUMBER(P186),Q186*(P186-1),"")),IF(U186="L",-Q186,IF(U186="Push",0,""))))</f>
        <v/>
      </c>
      <c r="W186">
        <f>IF(NOT(ISNUMBER(R186)),"",IF(U186="W",IF(ISNUMBER(P186),R186*(P186-1),""),IF(U186="L",-R186,IF(U186="Push",0,""))))</f>
        <v/>
      </c>
      <c r="X186" t="inlineStr">
        <is>
          <t>posted</t>
        </is>
      </c>
      <c r="Y186" t="inlineStr">
        <is>
          <t>Y - tags Gamdom</t>
        </is>
      </c>
      <c r="Z186" t="inlineStr">
        <is>
          <t>https://x.com/stevewilldoit/status/2096001049362391424</t>
        </is>
      </c>
      <c r="AA186" t="inlineStr">
        <is>
          <t>AI guy "Cubs F5 -1/2 -110"; reply "W"</t>
        </is>
      </c>
      <c r="AB186" t="inlineStr">
        <is>
          <t>Single</t>
        </is>
      </c>
      <c r="AC186" s="5">
        <f>IF(ISNUMBER(V186),Q186,"")</f>
        <v/>
      </c>
      <c r="AD186">
        <f>IF(ISNUMBER(W186),R186,"")</f>
        <v/>
      </c>
    </row>
    <row r="187">
      <c r="A187" t="inlineStr">
        <is>
          <t>T-275655</t>
        </is>
      </c>
      <c r="B187" t="inlineStr">
        <is>
          <t>Trent</t>
        </is>
      </c>
      <c r="C187" s="2" t="n">
        <v>46270.43800925926</v>
      </c>
      <c r="D187">
        <f>IF(C187="","",TEXT(C187,"dddd"))</f>
        <v/>
      </c>
      <c r="E187" s="3" t="n">
        <v>46270</v>
      </c>
      <c r="F187">
        <f>IF(E187="","",TEXT(E187,"dddd"))</f>
        <v/>
      </c>
      <c r="G187" t="inlineStr">
        <is>
          <t>12:00 PM</t>
        </is>
      </c>
      <c r="H187" t="inlineStr">
        <is>
          <t>N</t>
        </is>
      </c>
      <c r="I187" t="inlineStr"/>
      <c r="J187" t="inlineStr">
        <is>
          <t>CFB</t>
        </is>
      </c>
      <c r="K187" t="inlineStr">
        <is>
          <t>CFB</t>
        </is>
      </c>
      <c r="L187" t="inlineStr">
        <is>
          <t>spread</t>
        </is>
      </c>
      <c r="M187" t="inlineStr">
        <is>
          <t>Indiana -40.5</t>
        </is>
      </c>
      <c r="N187" t="n">
        <v>1</v>
      </c>
      <c r="O187" t="inlineStr">
        <is>
          <t>not shown</t>
        </is>
      </c>
      <c r="P187" s="4" t="inlineStr"/>
      <c r="Q187" s="5" t="inlineStr"/>
      <c r="R187" t="inlineStr"/>
      <c r="S187" s="5" t="inlineStr"/>
      <c r="T187" t="inlineStr">
        <is>
          <t>not shown</t>
        </is>
      </c>
      <c r="U187" t="inlineStr">
        <is>
          <t>L</t>
        </is>
      </c>
      <c r="V187" s="5">
        <f>IF(NOT(ISNUMBER(Q187)),"",IF(U187="W",IF(ISNUMBER(S187),S187-Q187,IF(ISNUMBER(P187),Q187*(P187-1),"")),IF(U187="L",-Q187,IF(U187="Push",0,""))))</f>
        <v/>
      </c>
      <c r="W187">
        <f>IF(NOT(ISNUMBER(R187)),"",IF(U187="W",IF(ISNUMBER(P187),R187*(P187-1),""),IF(U187="L",-R187,IF(U187="Push",0,""))))</f>
        <v/>
      </c>
      <c r="X187" t="inlineStr">
        <is>
          <t>graded from final</t>
        </is>
      </c>
      <c r="Y187" t="inlineStr">
        <is>
          <t>N</t>
        </is>
      </c>
      <c r="Z187" t="inlineStr">
        <is>
          <t>https://x.com/BookitWithTrent/status/2096259743195275655</t>
        </is>
      </c>
      <c r="AA187" t="inlineStr">
        <is>
          <t>Saturday Mortal Megas</t>
        </is>
      </c>
      <c r="AB187" t="inlineStr">
        <is>
          <t>Single</t>
        </is>
      </c>
      <c r="AC187" s="5">
        <f>IF(ISNUMBER(V187),Q187,"")</f>
        <v/>
      </c>
      <c r="AD187">
        <f>IF(ISNUMBER(W187),R187,"")</f>
        <v/>
      </c>
    </row>
    <row r="188">
      <c r="A188" t="inlineStr">
        <is>
          <t>T-275655b</t>
        </is>
      </c>
      <c r="B188" t="inlineStr">
        <is>
          <t>Trent</t>
        </is>
      </c>
      <c r="C188" s="2" t="n">
        <v>46270.43800925926</v>
      </c>
      <c r="D188">
        <f>IF(C188="","",TEXT(C188,"dddd"))</f>
        <v/>
      </c>
      <c r="E188" s="3" t="n">
        <v>46270</v>
      </c>
      <c r="F188">
        <f>IF(E188="","",TEXT(E188,"dddd"))</f>
        <v/>
      </c>
      <c r="G188" t="inlineStr">
        <is>
          <t>12:00 PM</t>
        </is>
      </c>
      <c r="H188" t="inlineStr">
        <is>
          <t>N</t>
        </is>
      </c>
      <c r="I188" t="inlineStr"/>
      <c r="J188" t="inlineStr">
        <is>
          <t>CFB</t>
        </is>
      </c>
      <c r="K188" t="inlineStr">
        <is>
          <t>CFB</t>
        </is>
      </c>
      <c r="L188" t="inlineStr">
        <is>
          <t>spread</t>
        </is>
      </c>
      <c r="M188" t="inlineStr">
        <is>
          <t>Alabama -28.5</t>
        </is>
      </c>
      <c r="N188" t="n">
        <v>1</v>
      </c>
      <c r="O188" t="inlineStr">
        <is>
          <t>not shown</t>
        </is>
      </c>
      <c r="P188" s="4" t="inlineStr"/>
      <c r="Q188" s="5" t="inlineStr"/>
      <c r="R188" t="inlineStr"/>
      <c r="S188" s="5" t="inlineStr"/>
      <c r="T188" t="inlineStr">
        <is>
          <t>not shown</t>
        </is>
      </c>
      <c r="U188" t="inlineStr">
        <is>
          <t>W</t>
        </is>
      </c>
      <c r="V188" s="5">
        <f>IF(NOT(ISNUMBER(Q188)),"",IF(U188="W",IF(ISNUMBER(S188),S188-Q188,IF(ISNUMBER(P188),Q188*(P188-1),"")),IF(U188="L",-Q188,IF(U188="Push",0,""))))</f>
        <v/>
      </c>
      <c r="W188">
        <f>IF(NOT(ISNUMBER(R188)),"",IF(U188="W",IF(ISNUMBER(P188),R188*(P188-1),""),IF(U188="L",-R188,IF(U188="Push",0,""))))</f>
        <v/>
      </c>
      <c r="X188" t="inlineStr">
        <is>
          <t>graded from final</t>
        </is>
      </c>
      <c r="Y188" t="inlineStr">
        <is>
          <t>N</t>
        </is>
      </c>
      <c r="Z188" t="inlineStr">
        <is>
          <t>https://x.com/BookitWithTrent/status/2096259743195275655</t>
        </is>
      </c>
      <c r="AA188" t="inlineStr">
        <is>
          <t>Saturday Mortal Megas</t>
        </is>
      </c>
      <c r="AB188" t="inlineStr">
        <is>
          <t>Single</t>
        </is>
      </c>
      <c r="AC188" s="5">
        <f>IF(ISNUMBER(V188),Q188,"")</f>
        <v/>
      </c>
      <c r="AD188">
        <f>IF(ISNUMBER(W188),R188,"")</f>
        <v/>
      </c>
    </row>
    <row r="189">
      <c r="A189" t="inlineStr">
        <is>
          <t>T-275655c</t>
        </is>
      </c>
      <c r="B189" t="inlineStr">
        <is>
          <t>Trent</t>
        </is>
      </c>
      <c r="C189" s="2" t="n">
        <v>46270.43800925926</v>
      </c>
      <c r="D189">
        <f>IF(C189="","",TEXT(C189,"dddd"))</f>
        <v/>
      </c>
      <c r="E189" s="3" t="n">
        <v>46270</v>
      </c>
      <c r="F189">
        <f>IF(E189="","",TEXT(E189,"dddd"))</f>
        <v/>
      </c>
      <c r="G189" t="inlineStr">
        <is>
          <t>3:30 PM</t>
        </is>
      </c>
      <c r="H189" t="inlineStr">
        <is>
          <t>N</t>
        </is>
      </c>
      <c r="I189" t="inlineStr"/>
      <c r="J189" t="inlineStr">
        <is>
          <t>CFB</t>
        </is>
      </c>
      <c r="K189" t="inlineStr">
        <is>
          <t>CFB</t>
        </is>
      </c>
      <c r="L189" t="inlineStr">
        <is>
          <t>total</t>
        </is>
      </c>
      <c r="M189" t="inlineStr">
        <is>
          <t>Baylor/Auburn Over 59.5</t>
        </is>
      </c>
      <c r="N189" t="n">
        <v>1</v>
      </c>
      <c r="O189" t="inlineStr">
        <is>
          <t>not shown</t>
        </is>
      </c>
      <c r="P189" s="4" t="inlineStr"/>
      <c r="Q189" s="5" t="inlineStr"/>
      <c r="R189" t="inlineStr"/>
      <c r="S189" s="5" t="inlineStr"/>
      <c r="T189" t="inlineStr">
        <is>
          <t>not shown</t>
        </is>
      </c>
      <c r="U189" t="inlineStr">
        <is>
          <t>L</t>
        </is>
      </c>
      <c r="V189" s="5">
        <f>IF(NOT(ISNUMBER(Q189)),"",IF(U189="W",IF(ISNUMBER(S189),S189-Q189,IF(ISNUMBER(P189),Q189*(P189-1),"")),IF(U189="L",-Q189,IF(U189="Push",0,""))))</f>
        <v/>
      </c>
      <c r="W189">
        <f>IF(NOT(ISNUMBER(R189)),"",IF(U189="W",IF(ISNUMBER(P189),R189*(P189-1),""),IF(U189="L",-R189,IF(U189="Push",0,""))))</f>
        <v/>
      </c>
      <c r="X189" t="inlineStr">
        <is>
          <t>graded from final</t>
        </is>
      </c>
      <c r="Y189" t="inlineStr">
        <is>
          <t>N</t>
        </is>
      </c>
      <c r="Z189" t="inlineStr">
        <is>
          <t>https://x.com/BookitWithTrent/status/2096259743195275655</t>
        </is>
      </c>
      <c r="AA189" t="inlineStr">
        <is>
          <t>Saturday Mortal Megas</t>
        </is>
      </c>
      <c r="AB189" t="inlineStr">
        <is>
          <t>Single</t>
        </is>
      </c>
      <c r="AC189" s="5">
        <f>IF(ISNUMBER(V189),Q189,"")</f>
        <v/>
      </c>
      <c r="AD189">
        <f>IF(ISNUMBER(W189),R189,"")</f>
        <v/>
      </c>
    </row>
    <row r="190">
      <c r="A190" t="inlineStr">
        <is>
          <t>T-275655d</t>
        </is>
      </c>
      <c r="B190" t="inlineStr">
        <is>
          <t>Trent</t>
        </is>
      </c>
      <c r="C190" s="2" t="n">
        <v>46270.43800925926</v>
      </c>
      <c r="D190">
        <f>IF(C190="","",TEXT(C190,"dddd"))</f>
        <v/>
      </c>
      <c r="E190" s="3" t="n">
        <v>46270</v>
      </c>
      <c r="F190">
        <f>IF(E190="","",TEXT(E190,"dddd"))</f>
        <v/>
      </c>
      <c r="G190" t="inlineStr">
        <is>
          <t>4:15 PM</t>
        </is>
      </c>
      <c r="H190" t="inlineStr">
        <is>
          <t>N</t>
        </is>
      </c>
      <c r="I190" t="inlineStr"/>
      <c r="J190" t="inlineStr">
        <is>
          <t>CFB</t>
        </is>
      </c>
      <c r="K190" t="inlineStr">
        <is>
          <t>CFB</t>
        </is>
      </c>
      <c r="L190" t="inlineStr">
        <is>
          <t>total</t>
        </is>
      </c>
      <c r="M190" t="inlineStr">
        <is>
          <t>Iowa/NIU Under 44.5</t>
        </is>
      </c>
      <c r="N190" t="n">
        <v>1</v>
      </c>
      <c r="O190" t="inlineStr">
        <is>
          <t>not shown</t>
        </is>
      </c>
      <c r="P190" s="4" t="inlineStr"/>
      <c r="Q190" s="5" t="inlineStr"/>
      <c r="R190" t="inlineStr"/>
      <c r="S190" s="5" t="inlineStr"/>
      <c r="T190" t="inlineStr">
        <is>
          <t>not shown</t>
        </is>
      </c>
      <c r="U190" t="inlineStr">
        <is>
          <t>W</t>
        </is>
      </c>
      <c r="V190" s="5">
        <f>IF(NOT(ISNUMBER(Q190)),"",IF(U190="W",IF(ISNUMBER(S190),S190-Q190,IF(ISNUMBER(P190),Q190*(P190-1),"")),IF(U190="L",-Q190,IF(U190="Push",0,""))))</f>
        <v/>
      </c>
      <c r="W190">
        <f>IF(NOT(ISNUMBER(R190)),"",IF(U190="W",IF(ISNUMBER(P190),R190*(P190-1),""),IF(U190="L",-R190,IF(U190="Push",0,""))))</f>
        <v/>
      </c>
      <c r="X190" t="inlineStr">
        <is>
          <t>graded from final</t>
        </is>
      </c>
      <c r="Y190" t="inlineStr">
        <is>
          <t>N</t>
        </is>
      </c>
      <c r="Z190" t="inlineStr">
        <is>
          <t>https://x.com/BookitWithTrent/status/2096259743195275655</t>
        </is>
      </c>
      <c r="AA190" t="inlineStr">
        <is>
          <t>Saturday Mortal Megas</t>
        </is>
      </c>
      <c r="AB190" t="inlineStr">
        <is>
          <t>Single</t>
        </is>
      </c>
      <c r="AC190" s="5">
        <f>IF(ISNUMBER(V190),Q190,"")</f>
        <v/>
      </c>
      <c r="AD190">
        <f>IF(ISNUMBER(W190),R190,"")</f>
        <v/>
      </c>
    </row>
    <row r="191">
      <c r="A191" t="inlineStr">
        <is>
          <t>S-617476</t>
        </is>
      </c>
      <c r="B191" t="inlineStr">
        <is>
          <t>Steve</t>
        </is>
      </c>
      <c r="C191" s="2" t="n">
        <v>46270.48547453704</v>
      </c>
      <c r="D191">
        <f>IF(C191="","",TEXT(C191,"dddd"))</f>
        <v/>
      </c>
      <c r="E191" s="3" t="n">
        <v>46270</v>
      </c>
      <c r="F191">
        <f>IF(E191="","",TEXT(E191,"dddd"))</f>
        <v/>
      </c>
      <c r="G191" t="inlineStr">
        <is>
          <t>not matched</t>
        </is>
      </c>
      <c r="H191" t="inlineStr">
        <is>
          <t>N</t>
        </is>
      </c>
      <c r="I191" t="inlineStr"/>
      <c r="J191" t="inlineStr">
        <is>
          <t>UFC/MMA</t>
        </is>
      </c>
      <c r="K191" t="inlineStr">
        <is>
          <t>UFC Fight Night (Hooker vs Parnasse)</t>
        </is>
      </c>
      <c r="L191" t="inlineStr">
        <is>
          <t>ML</t>
        </is>
      </c>
      <c r="M191" t="inlineStr">
        <is>
          <t>Klaudia Sygula ML vs Nora Cornolle</t>
        </is>
      </c>
      <c r="N191" t="n">
        <v>1</v>
      </c>
      <c r="O191" t="inlineStr">
        <is>
          <t>-125</t>
        </is>
      </c>
      <c r="P191" s="4" t="n">
        <v>1.8</v>
      </c>
      <c r="Q191" s="5" t="n">
        <v>40000</v>
      </c>
      <c r="R191" t="inlineStr"/>
      <c r="S191" s="5" t="n">
        <v>72000</v>
      </c>
      <c r="T191" t="inlineStr">
        <is>
          <t>Gamdom</t>
        </is>
      </c>
      <c r="U191" t="inlineStr">
        <is>
          <t>L</t>
        </is>
      </c>
      <c r="V191" s="5">
        <f>IF(NOT(ISNUMBER(Q191)),"",IF(U191="W",IF(ISNUMBER(S191),S191-Q191,IF(ISNUMBER(P191),Q191*(P191-1),"")),IF(U191="L",-Q191,IF(U191="Push",0,""))))</f>
        <v/>
      </c>
      <c r="W191">
        <f>IF(NOT(ISNUMBER(R191)),"",IF(U191="W",IF(ISNUMBER(P191),R191*(P191-1),""),IF(U191="L",-R191,IF(U191="Push",0,""))))</f>
        <v/>
      </c>
      <c r="X191" t="inlineStr">
        <is>
          <t>graded from final</t>
        </is>
      </c>
      <c r="Y191" t="inlineStr">
        <is>
          <t>Y - tags Gamdom</t>
        </is>
      </c>
      <c r="Z191" t="inlineStr">
        <is>
          <t>https://x.com/stevewilldoit/status/2096276947529617476</t>
        </is>
      </c>
      <c r="AA191" t="inlineStr">
        <is>
          <t>ZAYD pick; Cornolle won by UD; Game date assumed = post date (CT)</t>
        </is>
      </c>
      <c r="AB191" t="inlineStr">
        <is>
          <t>Single</t>
        </is>
      </c>
      <c r="AC191" s="5">
        <f>IF(ISNUMBER(V191),Q191,"")</f>
        <v/>
      </c>
      <c r="AD191">
        <f>IF(ISNUMBER(W191),R191,"")</f>
        <v/>
      </c>
    </row>
    <row r="192">
      <c r="A192" t="inlineStr">
        <is>
          <t>S-617476b</t>
        </is>
      </c>
      <c r="B192" t="inlineStr">
        <is>
          <t>Steve</t>
        </is>
      </c>
      <c r="C192" s="2" t="n">
        <v>46270.48547453704</v>
      </c>
      <c r="D192">
        <f>IF(C192="","",TEXT(C192,"dddd"))</f>
        <v/>
      </c>
      <c r="E192" s="3" t="n">
        <v>46270</v>
      </c>
      <c r="F192">
        <f>IF(E192="","",TEXT(E192,"dddd"))</f>
        <v/>
      </c>
      <c r="G192" t="inlineStr">
        <is>
          <t>not matched</t>
        </is>
      </c>
      <c r="H192" t="inlineStr">
        <is>
          <t>N</t>
        </is>
      </c>
      <c r="I192" t="inlineStr"/>
      <c r="J192" t="inlineStr">
        <is>
          <t>UFC/MMA</t>
        </is>
      </c>
      <c r="K192" t="inlineStr">
        <is>
          <t>UFC Fight Night (Hooker vs Parnasse)</t>
        </is>
      </c>
      <c r="L192" t="inlineStr">
        <is>
          <t>parlay</t>
        </is>
      </c>
      <c r="M192" t="inlineStr">
        <is>
          <t>Mario Pinto ML; Klaudia Sygula ML</t>
        </is>
      </c>
      <c r="N192" t="n">
        <v>2</v>
      </c>
      <c r="O192" t="inlineStr">
        <is>
          <t>+132</t>
        </is>
      </c>
      <c r="P192" s="4" t="n">
        <v>2.32</v>
      </c>
      <c r="Q192" s="5" t="n">
        <v>25000</v>
      </c>
      <c r="R192" t="inlineStr"/>
      <c r="S192" s="5" t="n">
        <v>58000</v>
      </c>
      <c r="T192" t="inlineStr">
        <is>
          <t>Gamdom</t>
        </is>
      </c>
      <c r="U192" t="inlineStr">
        <is>
          <t>L</t>
        </is>
      </c>
      <c r="V192" s="5">
        <f>IF(NOT(ISNUMBER(Q192)),"",IF(U192="W",IF(ISNUMBER(S192),S192-Q192,IF(ISNUMBER(P192),Q192*(P192-1),"")),IF(U192="L",-Q192,IF(U192="Push",0,""))))</f>
        <v/>
      </c>
      <c r="W192">
        <f>IF(NOT(ISNUMBER(R192)),"",IF(U192="W",IF(ISNUMBER(P192),R192*(P192-1),""),IF(U192="L",-R192,IF(U192="Push",0,""))))</f>
        <v/>
      </c>
      <c r="X192" t="inlineStr">
        <is>
          <t>graded from final</t>
        </is>
      </c>
      <c r="Y192" t="inlineStr">
        <is>
          <t>Y - tags Gamdom</t>
        </is>
      </c>
      <c r="Z192" t="inlineStr">
        <is>
          <t>https://x.com/stevewilldoit/status/2096276947529617476</t>
        </is>
      </c>
      <c r="AA192" t="inlineStr">
        <is>
          <t>Spann KO'd Pinto; Cornolle beat Sygula; Game date assumed = post date (CT)</t>
        </is>
      </c>
      <c r="AB192" t="inlineStr">
        <is>
          <t>Parlay/multi-leg</t>
        </is>
      </c>
      <c r="AC192" s="5">
        <f>IF(ISNUMBER(V192),Q192,"")</f>
        <v/>
      </c>
      <c r="AD192">
        <f>IF(ISNUMBER(W192),R192,"")</f>
        <v/>
      </c>
    </row>
    <row r="193">
      <c r="A193" t="inlineStr">
        <is>
          <t>S-617476c</t>
        </is>
      </c>
      <c r="B193" t="inlineStr">
        <is>
          <t>Steve</t>
        </is>
      </c>
      <c r="C193" s="2" t="n">
        <v>46270.48547453704</v>
      </c>
      <c r="D193">
        <f>IF(C193="","",TEXT(C193,"dddd"))</f>
        <v/>
      </c>
      <c r="E193" s="3" t="n">
        <v>46270</v>
      </c>
      <c r="F193">
        <f>IF(E193="","",TEXT(E193,"dddd"))</f>
        <v/>
      </c>
      <c r="G193" t="inlineStr">
        <is>
          <t>not matched</t>
        </is>
      </c>
      <c r="H193" t="inlineStr">
        <is>
          <t>N</t>
        </is>
      </c>
      <c r="I193" t="inlineStr"/>
      <c r="J193" t="inlineStr">
        <is>
          <t>UFC/MMA</t>
        </is>
      </c>
      <c r="K193" t="inlineStr">
        <is>
          <t>UFC Fight Night (Hooker vs Parnasse)</t>
        </is>
      </c>
      <c r="L193" t="inlineStr">
        <is>
          <t>ML</t>
        </is>
      </c>
      <c r="M193" t="inlineStr">
        <is>
          <t>Michael Page ML vs Nursulton Ruziboev</t>
        </is>
      </c>
      <c r="N193" t="n">
        <v>1</v>
      </c>
      <c r="O193" t="inlineStr">
        <is>
          <t>-208</t>
        </is>
      </c>
      <c r="P193" s="4" t="n">
        <v>1.4808</v>
      </c>
      <c r="Q193" s="5" t="n">
        <v>75000</v>
      </c>
      <c r="R193" t="inlineStr"/>
      <c r="S193" s="5" t="n">
        <v>111000</v>
      </c>
      <c r="T193" t="inlineStr">
        <is>
          <t>Gamdom</t>
        </is>
      </c>
      <c r="U193" t="inlineStr">
        <is>
          <t>W</t>
        </is>
      </c>
      <c r="V193" s="5">
        <f>IF(NOT(ISNUMBER(Q193)),"",IF(U193="W",IF(ISNUMBER(S193),S193-Q193,IF(ISNUMBER(P193),Q193*(P193-1),"")),IF(U193="L",-Q193,IF(U193="Push",0,""))))</f>
        <v/>
      </c>
      <c r="W193">
        <f>IF(NOT(ISNUMBER(R193)),"",IF(U193="W",IF(ISNUMBER(P193),R193*(P193-1),""),IF(U193="L",-R193,IF(U193="Push",0,""))))</f>
        <v/>
      </c>
      <c r="X193" t="inlineStr">
        <is>
          <t>graded from final</t>
        </is>
      </c>
      <c r="Y193" t="inlineStr">
        <is>
          <t>Y - tags Gamdom</t>
        </is>
      </c>
      <c r="Z193" t="inlineStr">
        <is>
          <t>https://x.com/stevewilldoit/status/2096276947529617476</t>
        </is>
      </c>
      <c r="AA193" t="inlineStr">
        <is>
          <t>Page won by UD; Game date assumed = post date (CT)</t>
        </is>
      </c>
      <c r="AB193" t="inlineStr">
        <is>
          <t>Single</t>
        </is>
      </c>
      <c r="AC193" s="5">
        <f>IF(ISNUMBER(V193),Q193,"")</f>
        <v/>
      </c>
      <c r="AD193">
        <f>IF(ISNUMBER(W193),R193,"")</f>
        <v/>
      </c>
    </row>
    <row r="194">
      <c r="A194" t="inlineStr">
        <is>
          <t>S-617476d</t>
        </is>
      </c>
      <c r="B194" t="inlineStr">
        <is>
          <t>Steve</t>
        </is>
      </c>
      <c r="C194" s="2" t="n">
        <v>46270.48547453704</v>
      </c>
      <c r="D194">
        <f>IF(C194="","",TEXT(C194,"dddd"))</f>
        <v/>
      </c>
      <c r="E194" s="3" t="n">
        <v>46270</v>
      </c>
      <c r="F194">
        <f>IF(E194="","",TEXT(E194,"dddd"))</f>
        <v/>
      </c>
      <c r="G194" t="inlineStr">
        <is>
          <t>not matched</t>
        </is>
      </c>
      <c r="H194" t="inlineStr">
        <is>
          <t>N</t>
        </is>
      </c>
      <c r="I194" t="inlineStr"/>
      <c r="J194" t="inlineStr">
        <is>
          <t>UFC/MMA</t>
        </is>
      </c>
      <c r="K194" t="inlineStr">
        <is>
          <t>UFC Fight Night (Hooker vs Parnasse)</t>
        </is>
      </c>
      <c r="L194" t="inlineStr">
        <is>
          <t>ML</t>
        </is>
      </c>
      <c r="M194" t="inlineStr">
        <is>
          <t>Oumar Sy ML vs Modestas Bukauskas</t>
        </is>
      </c>
      <c r="N194" t="n">
        <v>1</v>
      </c>
      <c r="O194" t="inlineStr">
        <is>
          <t>-250</t>
        </is>
      </c>
      <c r="P194" s="4" t="n">
        <v>1.4</v>
      </c>
      <c r="Q194" s="5" t="n">
        <v>78000</v>
      </c>
      <c r="R194" t="inlineStr"/>
      <c r="S194" s="5" t="n">
        <v>109200</v>
      </c>
      <c r="T194" t="inlineStr">
        <is>
          <t>Gamdom</t>
        </is>
      </c>
      <c r="U194" t="inlineStr">
        <is>
          <t>W</t>
        </is>
      </c>
      <c r="V194" s="5">
        <f>IF(NOT(ISNUMBER(Q194)),"",IF(U194="W",IF(ISNUMBER(S194),S194-Q194,IF(ISNUMBER(P194),Q194*(P194-1),"")),IF(U194="L",-Q194,IF(U194="Push",0,""))))</f>
        <v/>
      </c>
      <c r="W194">
        <f>IF(NOT(ISNUMBER(R194)),"",IF(U194="W",IF(ISNUMBER(P194),R194*(P194-1),""),IF(U194="L",-R194,IF(U194="Push",0,""))))</f>
        <v/>
      </c>
      <c r="X194" t="inlineStr">
        <is>
          <t>graded from final</t>
        </is>
      </c>
      <c r="Y194" t="inlineStr">
        <is>
          <t>Y - tags Gamdom</t>
        </is>
      </c>
      <c r="Z194" t="inlineStr">
        <is>
          <t>https://x.com/stevewilldoit/status/2096276947529617476</t>
        </is>
      </c>
      <c r="AA194" t="inlineStr">
        <is>
          <t>Sy won by KO R2; Game date assumed = post date (CT)</t>
        </is>
      </c>
      <c r="AB194" t="inlineStr">
        <is>
          <t>Single</t>
        </is>
      </c>
      <c r="AC194" s="5">
        <f>IF(ISNUMBER(V194),Q194,"")</f>
        <v/>
      </c>
      <c r="AD194">
        <f>IF(ISNUMBER(W194),R194,"")</f>
        <v/>
      </c>
    </row>
    <row r="195">
      <c r="A195" t="inlineStr">
        <is>
          <t>S-749856</t>
        </is>
      </c>
      <c r="B195" t="inlineStr">
        <is>
          <t>Steve</t>
        </is>
      </c>
      <c r="C195" s="2" t="n">
        <v>46270.51149305556</v>
      </c>
      <c r="D195">
        <f>IF(C195="","",TEXT(C195,"dddd"))</f>
        <v/>
      </c>
      <c r="E195" s="3" t="n">
        <v>46270</v>
      </c>
      <c r="F195">
        <f>IF(E195="","",TEXT(E195,"dddd"))</f>
        <v/>
      </c>
      <c r="G195" t="inlineStr">
        <is>
          <t>not matched</t>
        </is>
      </c>
      <c r="H195" t="inlineStr">
        <is>
          <t>N</t>
        </is>
      </c>
      <c r="I195" t="inlineStr"/>
      <c r="J195" t="inlineStr">
        <is>
          <t>UFC/MMA</t>
        </is>
      </c>
      <c r="K195" t="inlineStr">
        <is>
          <t>UFC Fight Night (Hooker vs Parnasse)</t>
        </is>
      </c>
      <c r="L195" t="inlineStr">
        <is>
          <t>ML</t>
        </is>
      </c>
      <c r="M195" t="inlineStr">
        <is>
          <t>Felipe Lima ML vs Morgan Charriere</t>
        </is>
      </c>
      <c r="N195" t="n">
        <v>1</v>
      </c>
      <c r="O195" t="inlineStr">
        <is>
          <t>-204</t>
        </is>
      </c>
      <c r="P195" s="4" t="n">
        <v>1.4902</v>
      </c>
      <c r="Q195" s="5" t="n">
        <v>100000</v>
      </c>
      <c r="R195" t="inlineStr"/>
      <c r="S195" s="5" t="n">
        <v>149000</v>
      </c>
      <c r="T195" t="inlineStr">
        <is>
          <t>Gamdom</t>
        </is>
      </c>
      <c r="U195" t="inlineStr">
        <is>
          <t>L</t>
        </is>
      </c>
      <c r="V195" s="5">
        <f>IF(NOT(ISNUMBER(Q195)),"",IF(U195="W",IF(ISNUMBER(S195),S195-Q195,IF(ISNUMBER(P195),Q195*(P195-1),"")),IF(U195="L",-Q195,IF(U195="Push",0,""))))</f>
        <v/>
      </c>
      <c r="W195">
        <f>IF(NOT(ISNUMBER(R195)),"",IF(U195="W",IF(ISNUMBER(P195),R195*(P195-1),""),IF(U195="L",-R195,IF(U195="Push",0,""))))</f>
        <v/>
      </c>
      <c r="X195" t="inlineStr">
        <is>
          <t>graded from final</t>
        </is>
      </c>
      <c r="Y195" t="inlineStr">
        <is>
          <t>Y - tags Gamdom</t>
        </is>
      </c>
      <c r="Z195" t="inlineStr">
        <is>
          <t>https://x.com/stevewilldoit/status/2096286372608749856</t>
        </is>
      </c>
      <c r="AA195" t="inlineStr">
        <is>
          <t>"on tilt... ZAYD starts off 0-1"; Charriere won by UD; Game date assumed = post date (CT)</t>
        </is>
      </c>
      <c r="AB195" t="inlineStr">
        <is>
          <t>Single</t>
        </is>
      </c>
      <c r="AC195" s="5">
        <f>IF(ISNUMBER(V195),Q195,"")</f>
        <v/>
      </c>
      <c r="AD195">
        <f>IF(ISNUMBER(W195),R195,"")</f>
        <v/>
      </c>
    </row>
    <row r="196">
      <c r="A196" t="inlineStr">
        <is>
          <t>S-749856b</t>
        </is>
      </c>
      <c r="B196" t="inlineStr">
        <is>
          <t>Steve</t>
        </is>
      </c>
      <c r="C196" s="2" t="n">
        <v>46270.51149305556</v>
      </c>
      <c r="D196">
        <f>IF(C196="","",TEXT(C196,"dddd"))</f>
        <v/>
      </c>
      <c r="E196" s="3" t="n">
        <v>46270</v>
      </c>
      <c r="F196">
        <f>IF(E196="","",TEXT(E196,"dddd"))</f>
        <v/>
      </c>
      <c r="G196" t="inlineStr">
        <is>
          <t>not matched</t>
        </is>
      </c>
      <c r="H196" t="inlineStr">
        <is>
          <t>N</t>
        </is>
      </c>
      <c r="I196" t="inlineStr"/>
      <c r="J196" t="inlineStr">
        <is>
          <t>UFC/MMA</t>
        </is>
      </c>
      <c r="K196" t="inlineStr">
        <is>
          <t>UFC Fight Night (Hooker vs Parnasse)</t>
        </is>
      </c>
      <c r="L196" t="inlineStr">
        <is>
          <t>parlay</t>
        </is>
      </c>
      <c r="M196" t="inlineStr">
        <is>
          <t>Mario Pinto ML; Oumar Sy ML</t>
        </is>
      </c>
      <c r="N196" t="n">
        <v>2</v>
      </c>
      <c r="O196" t="inlineStr">
        <is>
          <t>-123</t>
        </is>
      </c>
      <c r="P196" s="4" t="n">
        <v>1.813</v>
      </c>
      <c r="Q196" s="5" t="n">
        <v>50000</v>
      </c>
      <c r="R196" t="inlineStr"/>
      <c r="S196" s="5" t="n">
        <v>90500</v>
      </c>
      <c r="T196" t="inlineStr">
        <is>
          <t>Gamdom</t>
        </is>
      </c>
      <c r="U196" t="inlineStr">
        <is>
          <t>L</t>
        </is>
      </c>
      <c r="V196" s="5">
        <f>IF(NOT(ISNUMBER(Q196)),"",IF(U196="W",IF(ISNUMBER(S196),S196-Q196,IF(ISNUMBER(P196),Q196*(P196-1),"")),IF(U196="L",-Q196,IF(U196="Push",0,""))))</f>
        <v/>
      </c>
      <c r="W196">
        <f>IF(NOT(ISNUMBER(R196)),"",IF(U196="W",IF(ISNUMBER(P196),R196*(P196-1),""),IF(U196="L",-R196,IF(U196="Push",0,""))))</f>
        <v/>
      </c>
      <c r="X196" t="inlineStr">
        <is>
          <t>graded from final</t>
        </is>
      </c>
      <c r="Y196" t="inlineStr">
        <is>
          <t>Y - tags Gamdom</t>
        </is>
      </c>
      <c r="Z196" t="inlineStr">
        <is>
          <t>https://x.com/stevewilldoit/status/2096286372608749856</t>
        </is>
      </c>
      <c r="AA196" t="inlineStr">
        <is>
          <t>Pinto lost; Game date assumed = post date (CT)</t>
        </is>
      </c>
      <c r="AB196" t="inlineStr">
        <is>
          <t>Parlay/multi-leg</t>
        </is>
      </c>
      <c r="AC196" s="5">
        <f>IF(ISNUMBER(V196),Q196,"")</f>
        <v/>
      </c>
      <c r="AD196">
        <f>IF(ISNUMBER(W196),R196,"")</f>
        <v/>
      </c>
    </row>
    <row r="197">
      <c r="A197" t="inlineStr">
        <is>
          <t>S-814952</t>
        </is>
      </c>
      <c r="B197" t="inlineStr">
        <is>
          <t>Steve</t>
        </is>
      </c>
      <c r="C197" s="2" t="n">
        <v>46270.55981481481</v>
      </c>
      <c r="D197">
        <f>IF(C197="","",TEXT(C197,"dddd"))</f>
        <v/>
      </c>
      <c r="E197" s="3" t="n">
        <v>46270</v>
      </c>
      <c r="F197">
        <f>IF(E197="","",TEXT(E197,"dddd"))</f>
        <v/>
      </c>
      <c r="G197" t="inlineStr">
        <is>
          <t>not matched</t>
        </is>
      </c>
      <c r="H197" t="inlineStr">
        <is>
          <t>N</t>
        </is>
      </c>
      <c r="I197" t="inlineStr"/>
      <c r="J197" t="inlineStr">
        <is>
          <t>UFC/MMA</t>
        </is>
      </c>
      <c r="K197" t="inlineStr">
        <is>
          <t>UFC Fight Night (Hooker vs Parnasse)</t>
        </is>
      </c>
      <c r="L197" t="inlineStr">
        <is>
          <t>parlay</t>
        </is>
      </c>
      <c r="M197" t="inlineStr">
        <is>
          <t>Felipe Lima ML; Mario Pinto ML</t>
        </is>
      </c>
      <c r="N197" t="n">
        <v>2</v>
      </c>
      <c r="O197" t="inlineStr">
        <is>
          <t>-120</t>
        </is>
      </c>
      <c r="P197" s="4" t="n">
        <v>1.8333</v>
      </c>
      <c r="Q197" s="5" t="n">
        <v>100000</v>
      </c>
      <c r="R197" t="inlineStr"/>
      <c r="S197" s="5" t="n">
        <v>183000</v>
      </c>
      <c r="T197" t="inlineStr">
        <is>
          <t>Gamdom</t>
        </is>
      </c>
      <c r="U197" t="inlineStr">
        <is>
          <t>L</t>
        </is>
      </c>
      <c r="V197" s="5">
        <f>IF(NOT(ISNUMBER(Q197)),"",IF(U197="W",IF(ISNUMBER(S197),S197-Q197,IF(ISNUMBER(P197),Q197*(P197-1),"")),IF(U197="L",-Q197,IF(U197="Push",0,""))))</f>
        <v/>
      </c>
      <c r="W197">
        <f>IF(NOT(ISNUMBER(R197)),"",IF(U197="W",IF(ISNUMBER(P197),R197*(P197-1),""),IF(U197="L",-R197,IF(U197="Push",0,""))))</f>
        <v/>
      </c>
      <c r="X197" t="inlineStr">
        <is>
          <t>graded from final</t>
        </is>
      </c>
      <c r="Y197" t="inlineStr">
        <is>
          <t>N</t>
        </is>
      </c>
      <c r="Z197" t="inlineStr">
        <is>
          <t>https://x.com/stevewilldoit/status/2096303885832814952</t>
        </is>
      </c>
      <c r="AA197" t="inlineStr">
        <is>
          <t>Both legs lost; Game date assumed = post date (CT)</t>
        </is>
      </c>
      <c r="AB197" t="inlineStr">
        <is>
          <t>Parlay/multi-leg</t>
        </is>
      </c>
      <c r="AC197" s="5">
        <f>IF(ISNUMBER(V197),Q197,"")</f>
        <v/>
      </c>
      <c r="AD197">
        <f>IF(ISNUMBER(W197),R197,"")</f>
        <v/>
      </c>
    </row>
    <row r="198">
      <c r="A198" t="inlineStr">
        <is>
          <t>S-651727</t>
        </is>
      </c>
      <c r="B198" t="inlineStr">
        <is>
          <t>Steve</t>
        </is>
      </c>
      <c r="C198" s="2" t="n">
        <v>46270.59186342593</v>
      </c>
      <c r="D198">
        <f>IF(C198="","",TEXT(C198,"dddd"))</f>
        <v/>
      </c>
      <c r="E198" s="3" t="n">
        <v>46270</v>
      </c>
      <c r="F198">
        <f>IF(E198="","",TEXT(E198,"dddd"))</f>
        <v/>
      </c>
      <c r="G198" t="inlineStr">
        <is>
          <t>not matched</t>
        </is>
      </c>
      <c r="H198" t="inlineStr">
        <is>
          <t>N</t>
        </is>
      </c>
      <c r="I198" t="inlineStr"/>
      <c r="J198" t="inlineStr">
        <is>
          <t>UFC/MMA</t>
        </is>
      </c>
      <c r="K198" t="inlineStr">
        <is>
          <t>UFC Fight Night (Hooker vs Parnasse)</t>
        </is>
      </c>
      <c r="L198" t="inlineStr">
        <is>
          <t>ML</t>
        </is>
      </c>
      <c r="M198" t="inlineStr">
        <is>
          <t>Michael Page ML vs Nursulton Ruziboev</t>
        </is>
      </c>
      <c r="N198" t="n">
        <v>1</v>
      </c>
      <c r="O198" t="inlineStr">
        <is>
          <t>-204</t>
        </is>
      </c>
      <c r="P198" s="4" t="n">
        <v>1.4902</v>
      </c>
      <c r="Q198" s="5" t="n">
        <v>40000</v>
      </c>
      <c r="R198" t="inlineStr"/>
      <c r="S198" s="5" t="n">
        <v>59600</v>
      </c>
      <c r="T198" t="inlineStr">
        <is>
          <t>Gamdom</t>
        </is>
      </c>
      <c r="U198" t="inlineStr">
        <is>
          <t>W</t>
        </is>
      </c>
      <c r="V198" s="5">
        <f>IF(NOT(ISNUMBER(Q198)),"",IF(U198="W",IF(ISNUMBER(S198),S198-Q198,IF(ISNUMBER(P198),Q198*(P198-1),"")),IF(U198="L",-Q198,IF(U198="Push",0,""))))</f>
        <v/>
      </c>
      <c r="W198">
        <f>IF(NOT(ISNUMBER(R198)),"",IF(U198="W",IF(ISNUMBER(P198),R198*(P198-1),""),IF(U198="L",-R198,IF(U198="Push",0,""))))</f>
        <v/>
      </c>
      <c r="X198" t="inlineStr">
        <is>
          <t>graded from final</t>
        </is>
      </c>
      <c r="Y198" t="inlineStr">
        <is>
          <t>Y - tags Gamdom</t>
        </is>
      </c>
      <c r="Z198" t="inlineStr">
        <is>
          <t>https://x.com/stevewilldoit/status/2096315499818651727</t>
        </is>
      </c>
      <c r="AA198" t="inlineStr">
        <is>
          <t>"down currently 120kish... what we have to come back"; Game date assumed = post date (CT)</t>
        </is>
      </c>
      <c r="AB198" t="inlineStr">
        <is>
          <t>Single</t>
        </is>
      </c>
      <c r="AC198" s="5">
        <f>IF(ISNUMBER(V198),Q198,"")</f>
        <v/>
      </c>
      <c r="AD198">
        <f>IF(ISNUMBER(W198),R198,"")</f>
        <v/>
      </c>
    </row>
    <row r="199">
      <c r="A199" t="inlineStr">
        <is>
          <t>S-651727b</t>
        </is>
      </c>
      <c r="B199" t="inlineStr">
        <is>
          <t>Steve</t>
        </is>
      </c>
      <c r="C199" s="2" t="n">
        <v>46270.59186342593</v>
      </c>
      <c r="D199">
        <f>IF(C199="","",TEXT(C199,"dddd"))</f>
        <v/>
      </c>
      <c r="E199" s="3" t="n">
        <v>46270</v>
      </c>
      <c r="F199">
        <f>IF(E199="","",TEXT(E199,"dddd"))</f>
        <v/>
      </c>
      <c r="G199" t="inlineStr">
        <is>
          <t>not matched</t>
        </is>
      </c>
      <c r="H199" t="inlineStr">
        <is>
          <t>N</t>
        </is>
      </c>
      <c r="I199" t="inlineStr"/>
      <c r="J199" t="inlineStr">
        <is>
          <t>UFC/MMA</t>
        </is>
      </c>
      <c r="K199" t="inlineStr">
        <is>
          <t>UFC Fight Night (Hooker vs Parnasse)</t>
        </is>
      </c>
      <c r="L199" t="inlineStr">
        <is>
          <t>parlay</t>
        </is>
      </c>
      <c r="M199" t="inlineStr">
        <is>
          <t>Kurtis Campbell ML; Daniil Donchenko ML</t>
        </is>
      </c>
      <c r="N199" t="n">
        <v>2</v>
      </c>
      <c r="O199" t="inlineStr">
        <is>
          <t>-122</t>
        </is>
      </c>
      <c r="P199" s="4" t="n">
        <v>1.8197</v>
      </c>
      <c r="Q199" s="5" t="inlineStr"/>
      <c r="R199" t="inlineStr"/>
      <c r="S199" s="5" t="inlineStr">
        <is>
          <t>not shown</t>
        </is>
      </c>
      <c r="T199" t="inlineStr">
        <is>
          <t>Gamdom</t>
        </is>
      </c>
      <c r="U199" t="inlineStr">
        <is>
          <t>Unknown</t>
        </is>
      </c>
      <c r="V199" s="5">
        <f>IF(NOT(ISNUMBER(Q199)),"",IF(U199="W",IF(ISNUMBER(S199),S199-Q199,IF(ISNUMBER(P199),Q199*(P199-1),"")),IF(U199="L",-Q199,IF(U199="Push",0,""))))</f>
        <v/>
      </c>
      <c r="W199">
        <f>IF(NOT(ISNUMBER(R199)),"",IF(U199="W",IF(ISNUMBER(P199),R199*(P199-1),""),IF(U199="L",-R199,IF(U199="Push",0,""))))</f>
        <v/>
      </c>
      <c r="X199" t="inlineStr">
        <is>
          <t>unverified</t>
        </is>
      </c>
      <c r="Y199" t="inlineStr">
        <is>
          <t>Y - tags Gamdom</t>
        </is>
      </c>
      <c r="Z199" t="inlineStr">
        <is>
          <t>https://x.com/stevewilldoit/status/2096315499818651727</t>
        </is>
      </c>
      <c r="AA199" t="inlineStr">
        <is>
          <t>Stake not visible; results for these prelim fights not verified; Game date assumed = post date (CT)</t>
        </is>
      </c>
      <c r="AB199" t="inlineStr">
        <is>
          <t>Parlay/multi-leg</t>
        </is>
      </c>
      <c r="AC199" s="5">
        <f>IF(ISNUMBER(V199),Q199,"")</f>
        <v/>
      </c>
      <c r="AD199">
        <f>IF(ISNUMBER(W199),R199,"")</f>
        <v/>
      </c>
    </row>
    <row r="200">
      <c r="A200" t="inlineStr">
        <is>
          <t>S-253837</t>
        </is>
      </c>
      <c r="B200" t="inlineStr">
        <is>
          <t>Steve</t>
        </is>
      </c>
      <c r="C200" s="2" t="n">
        <v>46270.65611111111</v>
      </c>
      <c r="D200">
        <f>IF(C200="","",TEXT(C200,"dddd"))</f>
        <v/>
      </c>
      <c r="E200" s="3" t="n">
        <v>46270</v>
      </c>
      <c r="F200">
        <f>IF(E200="","",TEXT(E200,"dddd"))</f>
        <v/>
      </c>
      <c r="G200" t="inlineStr">
        <is>
          <t>not matched</t>
        </is>
      </c>
      <c r="H200" t="inlineStr">
        <is>
          <t>N</t>
        </is>
      </c>
      <c r="I200" t="inlineStr"/>
      <c r="J200" t="inlineStr">
        <is>
          <t>UFC/MMA</t>
        </is>
      </c>
      <c r="K200" t="inlineStr">
        <is>
          <t>UFC Fight Night (Hooker vs Parnasse)</t>
        </is>
      </c>
      <c r="L200" t="inlineStr">
        <is>
          <t>parlay</t>
        </is>
      </c>
      <c r="M200" t="inlineStr">
        <is>
          <t>Fares Ziam ML; Michael Page ML</t>
        </is>
      </c>
      <c r="N200" t="n">
        <v>2</v>
      </c>
      <c r="O200" t="inlineStr">
        <is>
          <t>+149</t>
        </is>
      </c>
      <c r="P200" s="4" t="n">
        <v>2.49</v>
      </c>
      <c r="Q200" s="5" t="n">
        <v>25000</v>
      </c>
      <c r="R200" t="inlineStr"/>
      <c r="S200" s="5" t="n">
        <v>62250</v>
      </c>
      <c r="T200" t="inlineStr">
        <is>
          <t>Gamdom</t>
        </is>
      </c>
      <c r="U200" t="inlineStr">
        <is>
          <t>L</t>
        </is>
      </c>
      <c r="V200" s="5">
        <f>IF(NOT(ISNUMBER(Q200)),"",IF(U200="W",IF(ISNUMBER(S200),S200-Q200,IF(ISNUMBER(P200),Q200*(P200-1),"")),IF(U200="L",-Q200,IF(U200="Push",0,""))))</f>
        <v/>
      </c>
      <c r="W200">
        <f>IF(NOT(ISNUMBER(R200)),"",IF(U200="W",IF(ISNUMBER(P200),R200*(P200-1),""),IF(U200="L",-R200,IF(U200="Push",0,""))))</f>
        <v/>
      </c>
      <c r="X200" t="inlineStr">
        <is>
          <t>graded from final</t>
        </is>
      </c>
      <c r="Y200" t="inlineStr">
        <is>
          <t>Y - tags Gamdom</t>
        </is>
      </c>
      <c r="Z200" t="inlineStr">
        <is>
          <t>https://x.com/stevewilldoit/status/2096338782941253837</t>
        </is>
      </c>
      <c r="AA200" t="inlineStr">
        <is>
          <t>"Sneaky parlay"; Sola KO'd Ziam; Game date assumed = post date (CT)</t>
        </is>
      </c>
      <c r="AB200" t="inlineStr">
        <is>
          <t>Parlay/multi-leg</t>
        </is>
      </c>
      <c r="AC200" s="5">
        <f>IF(ISNUMBER(V200),Q200,"")</f>
        <v/>
      </c>
      <c r="AD200">
        <f>IF(ISNUMBER(W200),R200,"")</f>
        <v/>
      </c>
    </row>
    <row r="201">
      <c r="A201" t="inlineStr">
        <is>
          <t>S-253837b</t>
        </is>
      </c>
      <c r="B201" t="inlineStr">
        <is>
          <t>Steve</t>
        </is>
      </c>
      <c r="C201" s="2" t="n">
        <v>46270.65611111111</v>
      </c>
      <c r="D201">
        <f>IF(C201="","",TEXT(C201,"dddd"))</f>
        <v/>
      </c>
      <c r="E201" s="3" t="n">
        <v>46270</v>
      </c>
      <c r="F201">
        <f>IF(E201="","",TEXT(E201,"dddd"))</f>
        <v/>
      </c>
      <c r="G201" t="inlineStr">
        <is>
          <t>not matched</t>
        </is>
      </c>
      <c r="H201" t="inlineStr">
        <is>
          <t>N</t>
        </is>
      </c>
      <c r="I201" t="inlineStr"/>
      <c r="J201" t="inlineStr">
        <is>
          <t>UFC/MMA</t>
        </is>
      </c>
      <c r="K201" t="inlineStr">
        <is>
          <t>UFC Fight Night (Hooker vs Parnasse)</t>
        </is>
      </c>
      <c r="L201" t="inlineStr">
        <is>
          <t>ML</t>
        </is>
      </c>
      <c r="M201" t="inlineStr">
        <is>
          <t>Michael Page ML vs Nursulton Ruziboev</t>
        </is>
      </c>
      <c r="N201" t="n">
        <v>1</v>
      </c>
      <c r="O201" t="inlineStr">
        <is>
          <t>-192</t>
        </is>
      </c>
      <c r="P201" s="4" t="n">
        <v>1.5208</v>
      </c>
      <c r="Q201" s="5" t="n">
        <v>31000</v>
      </c>
      <c r="R201" t="inlineStr"/>
      <c r="S201" s="5" t="n">
        <v>47120</v>
      </c>
      <c r="T201" t="inlineStr">
        <is>
          <t>Gamdom</t>
        </is>
      </c>
      <c r="U201" t="inlineStr">
        <is>
          <t>W</t>
        </is>
      </c>
      <c r="V201" s="5">
        <f>IF(NOT(ISNUMBER(Q201)),"",IF(U201="W",IF(ISNUMBER(S201),S201-Q201,IF(ISNUMBER(P201),Q201*(P201-1),"")),IF(U201="L",-Q201,IF(U201="Push",0,""))))</f>
        <v/>
      </c>
      <c r="W201">
        <f>IF(NOT(ISNUMBER(R201)),"",IF(U201="W",IF(ISNUMBER(P201),R201*(P201-1),""),IF(U201="L",-R201,IF(U201="Push",0,""))))</f>
        <v/>
      </c>
      <c r="X201" t="inlineStr">
        <is>
          <t>graded from final</t>
        </is>
      </c>
      <c r="Y201" t="inlineStr">
        <is>
          <t>Y - tags Gamdom</t>
        </is>
      </c>
      <c r="Z201" t="inlineStr">
        <is>
          <t>https://x.com/stevewilldoit/status/2096338782941253837</t>
        </is>
      </c>
      <c r="AA201" t="inlineStr">
        <is>
          <t>"added money on Page"; Game date assumed = post date (CT)</t>
        </is>
      </c>
      <c r="AB201" t="inlineStr">
        <is>
          <t>Single</t>
        </is>
      </c>
      <c r="AC201" s="5">
        <f>IF(ISNUMBER(V201),Q201,"")</f>
        <v/>
      </c>
      <c r="AD201">
        <f>IF(ISNUMBER(W201),R201,"")</f>
        <v/>
      </c>
    </row>
    <row r="202">
      <c r="A202" t="inlineStr">
        <is>
          <t>S-702866</t>
        </is>
      </c>
      <c r="B202" t="inlineStr">
        <is>
          <t>Steve</t>
        </is>
      </c>
      <c r="C202" s="2" t="n">
        <v>46270.6766087963</v>
      </c>
      <c r="D202">
        <f>IF(C202="","",TEXT(C202,"dddd"))</f>
        <v/>
      </c>
      <c r="E202" s="3" t="n">
        <v>46270</v>
      </c>
      <c r="F202">
        <f>IF(E202="","",TEXT(E202,"dddd"))</f>
        <v/>
      </c>
      <c r="G202" t="inlineStr">
        <is>
          <t>not matched</t>
        </is>
      </c>
      <c r="H202" t="inlineStr">
        <is>
          <t>N</t>
        </is>
      </c>
      <c r="I202" t="inlineStr"/>
      <c r="J202" t="inlineStr">
        <is>
          <t>UFC/MMA</t>
        </is>
      </c>
      <c r="K202" t="inlineStr">
        <is>
          <t>UFC Fight Night (Hooker vs Parnasse)</t>
        </is>
      </c>
      <c r="L202" t="inlineStr">
        <is>
          <t>ML</t>
        </is>
      </c>
      <c r="M202" t="inlineStr">
        <is>
          <t>Fares Ziam ML vs Axel Sola</t>
        </is>
      </c>
      <c r="N202" t="n">
        <v>1</v>
      </c>
      <c r="O202" t="inlineStr">
        <is>
          <t>-156</t>
        </is>
      </c>
      <c r="P202" s="4" t="n">
        <v>1.641</v>
      </c>
      <c r="Q202" s="5" t="n">
        <v>86000</v>
      </c>
      <c r="R202" t="inlineStr"/>
      <c r="S202" s="5" t="n">
        <v>141040</v>
      </c>
      <c r="T202" t="inlineStr">
        <is>
          <t>Gamdom</t>
        </is>
      </c>
      <c r="U202" t="inlineStr">
        <is>
          <t>L</t>
        </is>
      </c>
      <c r="V202" s="5">
        <f>IF(NOT(ISNUMBER(Q202)),"",IF(U202="W",IF(ISNUMBER(S202),S202-Q202,IF(ISNUMBER(P202),Q202*(P202-1),"")),IF(U202="L",-Q202,IF(U202="Push",0,""))))</f>
        <v/>
      </c>
      <c r="W202">
        <f>IF(NOT(ISNUMBER(R202)),"",IF(U202="W",IF(ISNUMBER(P202),R202*(P202-1),""),IF(U202="L",-R202,IF(U202="Push",0,""))))</f>
        <v/>
      </c>
      <c r="X202" t="inlineStr">
        <is>
          <t>graded from final</t>
        </is>
      </c>
      <c r="Y202" t="inlineStr">
        <is>
          <t>N</t>
        </is>
      </c>
      <c r="Z202" t="inlineStr">
        <is>
          <t>https://x.com/stevewilldoit/status/2096346209824702866</t>
        </is>
      </c>
      <c r="AA202" t="inlineStr">
        <is>
          <t>Posted with "Won all our money back + some... Last bet for ufc"; Sola won by KO R1; Game date assumed = post date (CT)</t>
        </is>
      </c>
      <c r="AB202" t="inlineStr">
        <is>
          <t>Single</t>
        </is>
      </c>
      <c r="AC202" s="5">
        <f>IF(ISNUMBER(V202),Q202,"")</f>
        <v/>
      </c>
      <c r="AD202">
        <f>IF(ISNUMBER(W202),R202,"")</f>
        <v/>
      </c>
    </row>
    <row r="203">
      <c r="A203" t="inlineStr">
        <is>
          <t>S-229795</t>
        </is>
      </c>
      <c r="B203" t="inlineStr">
        <is>
          <t>Steve</t>
        </is>
      </c>
      <c r="C203" s="2" t="n">
        <v>46270.69043981482</v>
      </c>
      <c r="D203">
        <f>IF(C203="","",TEXT(C203,"dddd"))</f>
        <v/>
      </c>
      <c r="E203" s="3" t="n">
        <v>46270</v>
      </c>
      <c r="F203">
        <f>IF(E203="","",TEXT(E203,"dddd"))</f>
        <v/>
      </c>
      <c r="G203" t="inlineStr">
        <is>
          <t>3:30 PM</t>
        </is>
      </c>
      <c r="H203" t="inlineStr">
        <is>
          <t>N</t>
        </is>
      </c>
      <c r="I203" t="inlineStr"/>
      <c r="J203" t="inlineStr">
        <is>
          <t>CFB</t>
        </is>
      </c>
      <c r="K203" t="inlineStr">
        <is>
          <t>CFB</t>
        </is>
      </c>
      <c r="L203" t="inlineStr">
        <is>
          <t>total</t>
        </is>
      </c>
      <c r="M203" t="inlineStr">
        <is>
          <t>Cincinnati vs Boston College Under 31.5 (live)</t>
        </is>
      </c>
      <c r="N203" t="n">
        <v>1</v>
      </c>
      <c r="O203" t="inlineStr">
        <is>
          <t>-125</t>
        </is>
      </c>
      <c r="P203" s="4" t="n">
        <v>1.8</v>
      </c>
      <c r="Q203" s="5" t="n">
        <v>75000</v>
      </c>
      <c r="R203" t="inlineStr"/>
      <c r="S203" s="5" t="n">
        <v>135000</v>
      </c>
      <c r="T203" t="inlineStr">
        <is>
          <t>Gamdom</t>
        </is>
      </c>
      <c r="U203" t="inlineStr">
        <is>
          <t>L</t>
        </is>
      </c>
      <c r="V203" s="5">
        <f>IF(NOT(ISNUMBER(Q203)),"",IF(U203="W",IF(ISNUMBER(S203),S203-Q203,IF(ISNUMBER(P203),Q203*(P203-1),"")),IF(U203="L",-Q203,IF(U203="Push",0,""))))</f>
        <v/>
      </c>
      <c r="W203">
        <f>IF(NOT(ISNUMBER(R203)),"",IF(U203="W",IF(ISNUMBER(P203),R203*(P203-1),""),IF(U203="L",-R203,IF(U203="Push",0,""))))</f>
        <v/>
      </c>
      <c r="X203" t="inlineStr">
        <is>
          <t>graded from final</t>
        </is>
      </c>
      <c r="Y203" t="inlineStr">
        <is>
          <t>Y - tags Gamdom</t>
        </is>
      </c>
      <c r="Z203" t="inlineStr">
        <is>
          <t>https://x.com/stevewilldoit/status/2096351223360229795</t>
        </is>
      </c>
      <c r="AA203" t="inlineStr">
        <is>
          <t>ZAYD pick "live bet under 32.5"</t>
        </is>
      </c>
      <c r="AB203" t="inlineStr">
        <is>
          <t>Single</t>
        </is>
      </c>
      <c r="AC203" s="5">
        <f>IF(ISNUMBER(V203),Q203,"")</f>
        <v/>
      </c>
      <c r="AD203">
        <f>IF(ISNUMBER(W203),R203,"")</f>
        <v/>
      </c>
    </row>
    <row r="204">
      <c r="A204" t="inlineStr">
        <is>
          <t>S-229795b</t>
        </is>
      </c>
      <c r="B204" t="inlineStr">
        <is>
          <t>Steve</t>
        </is>
      </c>
      <c r="C204" s="2" t="n">
        <v>46270.69043981482</v>
      </c>
      <c r="D204">
        <f>IF(C204="","",TEXT(C204,"dddd"))</f>
        <v/>
      </c>
      <c r="E204" s="3" t="n">
        <v>46270</v>
      </c>
      <c r="F204">
        <f>IF(E204="","",TEXT(E204,"dddd"))</f>
        <v/>
      </c>
      <c r="G204" t="inlineStr">
        <is>
          <t>8:00 PM</t>
        </is>
      </c>
      <c r="H204" t="inlineStr">
        <is>
          <t>Y</t>
        </is>
      </c>
      <c r="I204" t="inlineStr">
        <is>
          <t>CFB Saturday night</t>
        </is>
      </c>
      <c r="J204" t="inlineStr">
        <is>
          <t>CFB</t>
        </is>
      </c>
      <c r="K204" t="inlineStr">
        <is>
          <t>CFB</t>
        </is>
      </c>
      <c r="L204" t="inlineStr">
        <is>
          <t>spread</t>
        </is>
      </c>
      <c r="M204" t="inlineStr">
        <is>
          <t>Northwestern -13.5 vs South Dakota State</t>
        </is>
      </c>
      <c r="N204" t="n">
        <v>1</v>
      </c>
      <c r="O204" t="inlineStr">
        <is>
          <t>-123</t>
        </is>
      </c>
      <c r="P204" s="4" t="n">
        <v>1.813</v>
      </c>
      <c r="Q204" s="5" t="n">
        <v>62000</v>
      </c>
      <c r="R204" t="inlineStr"/>
      <c r="S204" s="5" t="n">
        <v>112220</v>
      </c>
      <c r="T204" t="inlineStr">
        <is>
          <t>Gamdom</t>
        </is>
      </c>
      <c r="U204" t="inlineStr">
        <is>
          <t>W</t>
        </is>
      </c>
      <c r="V204" s="5">
        <f>IF(NOT(ISNUMBER(Q204)),"",IF(U204="W",IF(ISNUMBER(S204),S204-Q204,IF(ISNUMBER(P204),Q204*(P204-1),"")),IF(U204="L",-Q204,IF(U204="Push",0,""))))</f>
        <v/>
      </c>
      <c r="W204">
        <f>IF(NOT(ISNUMBER(R204)),"",IF(U204="W",IF(ISNUMBER(P204),R204*(P204-1),""),IF(U204="L",-R204,IF(U204="Push",0,""))))</f>
        <v/>
      </c>
      <c r="X204" t="inlineStr">
        <is>
          <t>graded from final</t>
        </is>
      </c>
      <c r="Y204" t="inlineStr">
        <is>
          <t>Y - tags Gamdom</t>
        </is>
      </c>
      <c r="Z204" t="inlineStr">
        <is>
          <t>https://x.com/stevewilldoit/status/2096351223360229795</t>
        </is>
      </c>
      <c r="AA204" t="inlineStr">
        <is>
          <t>ZAYD pick "Northwestern -14"</t>
        </is>
      </c>
      <c r="AB204" t="inlineStr">
        <is>
          <t>Single</t>
        </is>
      </c>
      <c r="AC204" s="5">
        <f>IF(ISNUMBER(V204),Q204,"")</f>
        <v/>
      </c>
      <c r="AD204">
        <f>IF(ISNUMBER(W204),R204,"")</f>
        <v/>
      </c>
    </row>
    <row r="205">
      <c r="A205" t="inlineStr">
        <is>
          <t>S-229795c</t>
        </is>
      </c>
      <c r="B205" t="inlineStr">
        <is>
          <t>Steve</t>
        </is>
      </c>
      <c r="C205" s="2" t="n">
        <v>46270.69043981482</v>
      </c>
      <c r="D205">
        <f>IF(C205="","",TEXT(C205,"dddd"))</f>
        <v/>
      </c>
      <c r="E205" s="3" t="n">
        <v>46270</v>
      </c>
      <c r="F205">
        <f>IF(E205="","",TEXT(E205,"dddd"))</f>
        <v/>
      </c>
      <c r="G205" t="inlineStr">
        <is>
          <t>not matched</t>
        </is>
      </c>
      <c r="H205" t="inlineStr">
        <is>
          <t>Unknown</t>
        </is>
      </c>
      <c r="I205" t="inlineStr">
        <is>
          <t>kickoff not matched</t>
        </is>
      </c>
      <c r="J205" t="inlineStr">
        <is>
          <t>CFB</t>
        </is>
      </c>
      <c r="K205" t="inlineStr">
        <is>
          <t>CFB</t>
        </is>
      </c>
      <c r="L205" t="inlineStr">
        <is>
          <t>total</t>
        </is>
      </c>
      <c r="M205" t="inlineStr">
        <is>
          <t>Troy vs Sam Houston 1st Half Under 27.5</t>
        </is>
      </c>
      <c r="N205" t="n">
        <v>1</v>
      </c>
      <c r="O205" t="inlineStr">
        <is>
          <t>-123</t>
        </is>
      </c>
      <c r="P205" s="4" t="n">
        <v>1.813</v>
      </c>
      <c r="Q205" s="5" t="n">
        <v>62000</v>
      </c>
      <c r="R205" t="inlineStr"/>
      <c r="S205" s="5" t="n">
        <v>112220</v>
      </c>
      <c r="T205" t="inlineStr">
        <is>
          <t>Gamdom</t>
        </is>
      </c>
      <c r="U205" t="inlineStr">
        <is>
          <t>L</t>
        </is>
      </c>
      <c r="V205" s="5">
        <f>IF(NOT(ISNUMBER(Q205)),"",IF(U205="W",IF(ISNUMBER(S205),S205-Q205,IF(ISNUMBER(P205),Q205*(P205-1),"")),IF(U205="L",-Q205,IF(U205="Push",0,""))))</f>
        <v/>
      </c>
      <c r="W205">
        <f>IF(NOT(ISNUMBER(R205)),"",IF(U205="W",IF(ISNUMBER(P205),R205*(P205-1),""),IF(U205="L",-R205,IF(U205="Push",0,""))))</f>
        <v/>
      </c>
      <c r="X205" t="inlineStr">
        <is>
          <t>graded from final</t>
        </is>
      </c>
      <c r="Y205" t="inlineStr">
        <is>
          <t>Y - tags Gamdom</t>
        </is>
      </c>
      <c r="Z205" t="inlineStr">
        <is>
          <t>https://x.com/stevewilldoit/status/2096351223360229795</t>
        </is>
      </c>
      <c r="AA205" t="inlineStr">
        <is>
          <t>ZAYD pick; Final: Troy/SHSU 1H total 28</t>
        </is>
      </c>
      <c r="AB205" t="inlineStr">
        <is>
          <t>Single</t>
        </is>
      </c>
      <c r="AC205" s="5">
        <f>IF(ISNUMBER(V205),Q205,"")</f>
        <v/>
      </c>
      <c r="AD205">
        <f>IF(ISNUMBER(W205),R205,"")</f>
        <v/>
      </c>
    </row>
    <row r="206">
      <c r="A206" t="inlineStr">
        <is>
          <t>S-381450</t>
        </is>
      </c>
      <c r="B206" t="inlineStr">
        <is>
          <t>Steve</t>
        </is>
      </c>
      <c r="C206" s="2" t="n">
        <v>46270.6921412037</v>
      </c>
      <c r="D206">
        <f>IF(C206="","",TEXT(C206,"dddd"))</f>
        <v/>
      </c>
      <c r="E206" s="3" t="n">
        <v>46270</v>
      </c>
      <c r="F206">
        <f>IF(E206="","",TEXT(E206,"dddd"))</f>
        <v/>
      </c>
      <c r="G206" t="inlineStr">
        <is>
          <t>not matched</t>
        </is>
      </c>
      <c r="H206" t="inlineStr">
        <is>
          <t>Unknown</t>
        </is>
      </c>
      <c r="I206" t="inlineStr">
        <is>
          <t>kickoff not matched</t>
        </is>
      </c>
      <c r="J206" t="inlineStr">
        <is>
          <t>CFB</t>
        </is>
      </c>
      <c r="K206" t="inlineStr">
        <is>
          <t>CFB</t>
        </is>
      </c>
      <c r="L206" t="inlineStr">
        <is>
          <t>parlay</t>
        </is>
      </c>
      <c r="M206" t="inlineStr">
        <is>
          <t>Northwestern -13.5; Troy vs Sam Houston 1H Under 27.5</t>
        </is>
      </c>
      <c r="N206" t="n">
        <v>2</v>
      </c>
      <c r="O206" t="inlineStr">
        <is>
          <t>+228</t>
        </is>
      </c>
      <c r="P206" s="4" t="n">
        <v>3.28</v>
      </c>
      <c r="Q206" s="5" t="n">
        <v>10000</v>
      </c>
      <c r="R206" t="inlineStr"/>
      <c r="S206" s="5" t="n">
        <v>32800</v>
      </c>
      <c r="T206" t="inlineStr">
        <is>
          <t>Gamdom</t>
        </is>
      </c>
      <c r="U206" t="inlineStr">
        <is>
          <t>L</t>
        </is>
      </c>
      <c r="V206" s="5">
        <f>IF(NOT(ISNUMBER(Q206)),"",IF(U206="W",IF(ISNUMBER(S206),S206-Q206,IF(ISNUMBER(P206),Q206*(P206-1),"")),IF(U206="L",-Q206,IF(U206="Push",0,""))))</f>
        <v/>
      </c>
      <c r="W206">
        <f>IF(NOT(ISNUMBER(R206)),"",IF(U206="W",IF(ISNUMBER(P206),R206*(P206-1),""),IF(U206="L",-R206,IF(U206="Push",0,""))))</f>
        <v/>
      </c>
      <c r="X206" t="inlineStr">
        <is>
          <t>graded from final</t>
        </is>
      </c>
      <c r="Y206" t="inlineStr">
        <is>
          <t>N</t>
        </is>
      </c>
      <c r="Z206" t="inlineStr">
        <is>
          <t>https://x.com/stevewilldoit/status/2096351838769381450</t>
        </is>
      </c>
      <c r="AA206" t="inlineStr">
        <is>
          <t>"Sneaky parlay"; Final: NU -13.5 won (34-18) but Troy/SHSU 1H total 28</t>
        </is>
      </c>
      <c r="AB206" t="inlineStr">
        <is>
          <t>Parlay/multi-leg</t>
        </is>
      </c>
      <c r="AC206" s="5">
        <f>IF(ISNUMBER(V206),Q206,"")</f>
        <v/>
      </c>
      <c r="AD206">
        <f>IF(ISNUMBER(W206),R206,"")</f>
        <v/>
      </c>
    </row>
    <row r="207">
      <c r="A207" t="inlineStr">
        <is>
          <t>S-115999</t>
        </is>
      </c>
      <c r="B207" t="inlineStr">
        <is>
          <t>Steve</t>
        </is>
      </c>
      <c r="C207" s="2" t="n">
        <v>46270.718125</v>
      </c>
      <c r="D207">
        <f>IF(C207="","",TEXT(C207,"dddd"))</f>
        <v/>
      </c>
      <c r="E207" s="3" t="n">
        <v>46270</v>
      </c>
      <c r="F207">
        <f>IF(E207="","",TEXT(E207,"dddd"))</f>
        <v/>
      </c>
      <c r="G207" t="inlineStr">
        <is>
          <t>8:00 PM</t>
        </is>
      </c>
      <c r="H207" t="inlineStr">
        <is>
          <t>Y</t>
        </is>
      </c>
      <c r="I207" t="inlineStr">
        <is>
          <t>CFB Saturday night</t>
        </is>
      </c>
      <c r="J207" t="inlineStr">
        <is>
          <t>CFB</t>
        </is>
      </c>
      <c r="K207" t="inlineStr">
        <is>
          <t>FCS</t>
        </is>
      </c>
      <c r="L207" t="inlineStr">
        <is>
          <t>spread</t>
        </is>
      </c>
      <c r="M207" t="inlineStr">
        <is>
          <t>East Texas A&amp;M +26.5 vs Stephen F. Austin</t>
        </is>
      </c>
      <c r="N207" t="n">
        <v>1</v>
      </c>
      <c r="O207" t="inlineStr">
        <is>
          <t>-127</t>
        </is>
      </c>
      <c r="P207" s="4" t="n">
        <v>1.7874</v>
      </c>
      <c r="Q207" s="5" t="n">
        <v>100000</v>
      </c>
      <c r="R207" t="inlineStr"/>
      <c r="S207" s="5" t="n">
        <v>179000</v>
      </c>
      <c r="T207" t="inlineStr">
        <is>
          <t>Gamdom</t>
        </is>
      </c>
      <c r="U207" t="inlineStr">
        <is>
          <t>L</t>
        </is>
      </c>
      <c r="V207" s="5">
        <f>IF(NOT(ISNUMBER(Q207)),"",IF(U207="W",IF(ISNUMBER(S207),S207-Q207,IF(ISNUMBER(P207),Q207*(P207-1),"")),IF(U207="L",-Q207,IF(U207="Push",0,""))))</f>
        <v/>
      </c>
      <c r="W207">
        <f>IF(NOT(ISNUMBER(R207)),"",IF(U207="W",IF(ISNUMBER(P207),R207*(P207-1),""),IF(U207="L",-R207,IF(U207="Push",0,""))))</f>
        <v/>
      </c>
      <c r="X207" t="inlineStr">
        <is>
          <t>graded from final</t>
        </is>
      </c>
      <c r="Y207" t="inlineStr">
        <is>
          <t>Y - tags Gamdom</t>
        </is>
      </c>
      <c r="Z207" t="inlineStr">
        <is>
          <t>https://x.com/stevewilldoit/status/2096361256475115999</t>
        </is>
      </c>
      <c r="AA207" t="inlineStr">
        <is>
          <t>ZAYD pick "+25.5"</t>
        </is>
      </c>
      <c r="AB207" t="inlineStr">
        <is>
          <t>Single</t>
        </is>
      </c>
      <c r="AC207" s="5">
        <f>IF(ISNUMBER(V207),Q207,"")</f>
        <v/>
      </c>
      <c r="AD207">
        <f>IF(ISNUMBER(W207),R207,"")</f>
        <v/>
      </c>
    </row>
    <row r="208">
      <c r="A208" t="inlineStr">
        <is>
          <t>S-465678</t>
        </is>
      </c>
      <c r="B208" t="inlineStr">
        <is>
          <t>Steve</t>
        </is>
      </c>
      <c r="C208" s="2" t="n">
        <v>46270.72561342592</v>
      </c>
      <c r="D208">
        <f>IF(C208="","",TEXT(C208,"dddd"))</f>
        <v/>
      </c>
      <c r="E208" s="3" t="n">
        <v>46270</v>
      </c>
      <c r="F208">
        <f>IF(E208="","",TEXT(E208,"dddd"))</f>
        <v/>
      </c>
      <c r="G208" t="inlineStr">
        <is>
          <t>6:10 PM</t>
        </is>
      </c>
      <c r="H208" t="inlineStr">
        <is>
          <t>N</t>
        </is>
      </c>
      <c r="I208" t="inlineStr"/>
      <c r="J208" t="inlineStr">
        <is>
          <t>MLB</t>
        </is>
      </c>
      <c r="K208" t="inlineStr">
        <is>
          <t>MLB</t>
        </is>
      </c>
      <c r="L208" t="inlineStr">
        <is>
          <t>parlay</t>
        </is>
      </c>
      <c r="M208" t="inlineStr">
        <is>
          <t>Atlanta Braves +1.5 vs Phillies; Detroit Tigers ML vs Guardians</t>
        </is>
      </c>
      <c r="N208" t="n">
        <v>2</v>
      </c>
      <c r="O208" t="inlineStr">
        <is>
          <t>+341</t>
        </is>
      </c>
      <c r="P208" s="4" t="n">
        <v>4.41</v>
      </c>
      <c r="Q208" s="5" t="n">
        <v>10000</v>
      </c>
      <c r="R208" t="inlineStr"/>
      <c r="S208" s="5" t="n">
        <v>44100</v>
      </c>
      <c r="T208" t="inlineStr">
        <is>
          <t>Gamdom</t>
        </is>
      </c>
      <c r="U208" t="inlineStr">
        <is>
          <t>L</t>
        </is>
      </c>
      <c r="V208" s="5">
        <f>IF(NOT(ISNUMBER(Q208)),"",IF(U208="W",IF(ISNUMBER(S208),S208-Q208,IF(ISNUMBER(P208),Q208*(P208-1),"")),IF(U208="L",-Q208,IF(U208="Push",0,""))))</f>
        <v/>
      </c>
      <c r="W208">
        <f>IF(NOT(ISNUMBER(R208)),"",IF(U208="W",IF(ISNUMBER(P208),R208*(P208-1),""),IF(U208="L",-R208,IF(U208="Push",0,""))))</f>
        <v/>
      </c>
      <c r="X208" t="inlineStr">
        <is>
          <t>graded from final</t>
        </is>
      </c>
      <c r="Y208" t="inlineStr">
        <is>
          <t>N</t>
        </is>
      </c>
      <c r="Z208" t="inlineStr">
        <is>
          <t>https://x.com/stevewilldoit/status/2096363968650465678</t>
        </is>
      </c>
      <c r="AA208" t="inlineStr">
        <is>
          <t>"The 6ix9ine parlay"</t>
        </is>
      </c>
      <c r="AB208" t="inlineStr">
        <is>
          <t>Parlay/multi-leg</t>
        </is>
      </c>
      <c r="AC208" s="5">
        <f>IF(ISNUMBER(V208),Q208,"")</f>
        <v/>
      </c>
      <c r="AD208">
        <f>IF(ISNUMBER(W208),R208,"")</f>
        <v/>
      </c>
    </row>
    <row r="209">
      <c r="A209" t="inlineStr">
        <is>
          <t>S-465678b</t>
        </is>
      </c>
      <c r="B209" t="inlineStr">
        <is>
          <t>Steve</t>
        </is>
      </c>
      <c r="C209" s="2" t="n">
        <v>46270.72561342592</v>
      </c>
      <c r="D209">
        <f>IF(C209="","",TEXT(C209,"dddd"))</f>
        <v/>
      </c>
      <c r="E209" s="3" t="n">
        <v>46270</v>
      </c>
      <c r="F209">
        <f>IF(E209="","",TEXT(E209,"dddd"))</f>
        <v/>
      </c>
      <c r="G209" t="inlineStr">
        <is>
          <t>not matched</t>
        </is>
      </c>
      <c r="H209" t="inlineStr">
        <is>
          <t>N</t>
        </is>
      </c>
      <c r="I209" t="inlineStr"/>
      <c r="J209" t="inlineStr">
        <is>
          <t>MLB</t>
        </is>
      </c>
      <c r="K209" t="inlineStr">
        <is>
          <t>MLB</t>
        </is>
      </c>
      <c r="L209" t="inlineStr">
        <is>
          <t>parlay</t>
        </is>
      </c>
      <c r="M209" t="inlineStr">
        <is>
          <t>Atlanta Braves +1.5 vs Phillies; Guardians vs Tigers ML (side cut off)</t>
        </is>
      </c>
      <c r="N209" t="n">
        <v>2</v>
      </c>
      <c r="O209" t="inlineStr">
        <is>
          <t>+368</t>
        </is>
      </c>
      <c r="P209" s="4" t="n">
        <v>4.68</v>
      </c>
      <c r="Q209" s="5" t="n">
        <v>25000</v>
      </c>
      <c r="R209" t="inlineStr"/>
      <c r="S209" s="5" t="n">
        <v>117000</v>
      </c>
      <c r="T209" t="inlineStr">
        <is>
          <t>Gamdom</t>
        </is>
      </c>
      <c r="U209" t="inlineStr">
        <is>
          <t>L</t>
        </is>
      </c>
      <c r="V209" s="5">
        <f>IF(NOT(ISNUMBER(Q209)),"",IF(U209="W",IF(ISNUMBER(S209),S209-Q209,IF(ISNUMBER(P209),Q209*(P209-1),"")),IF(U209="L",-Q209,IF(U209="Push",0,""))))</f>
        <v/>
      </c>
      <c r="W209">
        <f>IF(NOT(ISNUMBER(R209)),"",IF(U209="W",IF(ISNUMBER(P209),R209*(P209-1),""),IF(U209="L",-R209,IF(U209="Push",0,""))))</f>
        <v/>
      </c>
      <c r="X209" t="inlineStr">
        <is>
          <t>graded from final</t>
        </is>
      </c>
      <c r="Y209" t="inlineStr">
        <is>
          <t>N</t>
        </is>
      </c>
      <c r="Z209" t="inlineStr">
        <is>
          <t>https://x.com/stevewilldoit/status/2096363968650465678</t>
        </is>
      </c>
      <c r="AA209" t="inlineStr">
        <is>
          <t>Second 6ix9ine parlay; second leg selection not visible; Final: Braves +1.5 lost</t>
        </is>
      </c>
      <c r="AB209" t="inlineStr">
        <is>
          <t>Parlay/multi-leg</t>
        </is>
      </c>
      <c r="AC209" s="5">
        <f>IF(ISNUMBER(V209),Q209,"")</f>
        <v/>
      </c>
      <c r="AD209">
        <f>IF(ISNUMBER(W209),R209,"")</f>
        <v/>
      </c>
    </row>
    <row r="210">
      <c r="A210" t="inlineStr">
        <is>
          <t>T-424577</t>
        </is>
      </c>
      <c r="B210" t="inlineStr">
        <is>
          <t>Trent</t>
        </is>
      </c>
      <c r="C210" s="2" t="n">
        <v>46270.73674768519</v>
      </c>
      <c r="D210">
        <f>IF(C210="","",TEXT(C210,"dddd"))</f>
        <v/>
      </c>
      <c r="E210" s="3" t="n">
        <v>46270</v>
      </c>
      <c r="F210">
        <f>IF(E210="","",TEXT(E210,"dddd"))</f>
        <v/>
      </c>
      <c r="G210" t="inlineStr">
        <is>
          <t>not matched</t>
        </is>
      </c>
      <c r="H210" t="inlineStr">
        <is>
          <t>Unknown</t>
        </is>
      </c>
      <c r="I210" t="inlineStr">
        <is>
          <t>kickoff not matched</t>
        </is>
      </c>
      <c r="J210" t="inlineStr">
        <is>
          <t>CFB</t>
        </is>
      </c>
      <c r="K210" t="inlineStr">
        <is>
          <t>CFB</t>
        </is>
      </c>
      <c r="L210" t="inlineStr">
        <is>
          <t>PrizePicks/DFS</t>
        </is>
      </c>
      <c r="M210" t="inlineStr">
        <is>
          <t>Bryce Underwood o207.5 pass yds; Sam Leavitt o20.5 rush yds; Jai'Den Thomas o68.5 rush yds; Ian Strong o66.5 rec yds</t>
        </is>
      </c>
      <c r="N210" t="n">
        <v>4</v>
      </c>
      <c r="O210" t="inlineStr">
        <is>
          <t>not shown</t>
        </is>
      </c>
      <c r="P210" s="4" t="inlineStr"/>
      <c r="Q210" s="5" t="inlineStr"/>
      <c r="R210" t="inlineStr"/>
      <c r="S210" s="5" t="n">
        <v>10000</v>
      </c>
      <c r="T210" t="inlineStr">
        <is>
          <t>PrizePicks</t>
        </is>
      </c>
      <c r="U210" t="inlineStr">
        <is>
          <t>L</t>
        </is>
      </c>
      <c r="V210" s="5">
        <f>IF(NOT(ISNUMBER(Q210)),"",IF(U210="W",IF(ISNUMBER(S210),S210-Q210,IF(ISNUMBER(P210),Q210*(P210-1),"")),IF(U210="L",-Q210,IF(U210="Push",0,""))))</f>
        <v/>
      </c>
      <c r="W210">
        <f>IF(NOT(ISNUMBER(R210)),"",IF(U210="W",IF(ISNUMBER(P210),R210*(P210-1),""),IF(U210="L",-R210,IF(U210="Push",0,""))))</f>
        <v/>
      </c>
      <c r="X210" t="inlineStr">
        <is>
          <t>graded from final</t>
        </is>
      </c>
      <c r="Y210" t="inlineStr">
        <is>
          <t>N</t>
        </is>
      </c>
      <c r="Z210" t="inlineStr">
        <is>
          <t>https://x.com/BookitWithTrent/status/2096368004661424577</t>
        </is>
      </c>
      <c r="AA210" t="inlineStr">
        <is>
          <t>10x multiplier, $10,000 to win (stake not shown); collab w/ @jovan_deeb; Final: Underwood 170 pass yds</t>
        </is>
      </c>
      <c r="AB210" t="inlineStr">
        <is>
          <t>Parlay/multi-leg</t>
        </is>
      </c>
      <c r="AC210" s="5">
        <f>IF(ISNUMBER(V210),Q210,"")</f>
        <v/>
      </c>
      <c r="AD210">
        <f>IF(ISNUMBER(W210),R210,"")</f>
        <v/>
      </c>
    </row>
    <row r="211">
      <c r="A211" t="inlineStr">
        <is>
          <t>T-495161</t>
        </is>
      </c>
      <c r="B211" t="inlineStr">
        <is>
          <t>Trent</t>
        </is>
      </c>
      <c r="C211" s="2" t="n">
        <v>46270.7459375</v>
      </c>
      <c r="D211">
        <f>IF(C211="","",TEXT(C211,"dddd"))</f>
        <v/>
      </c>
      <c r="E211" s="3" t="n">
        <v>46270</v>
      </c>
      <c r="F211">
        <f>IF(E211="","",TEXT(E211,"dddd"))</f>
        <v/>
      </c>
      <c r="G211" t="inlineStr">
        <is>
          <t>9:40 PM</t>
        </is>
      </c>
      <c r="H211" t="inlineStr">
        <is>
          <t>Y</t>
        </is>
      </c>
      <c r="I211" t="inlineStr">
        <is>
          <t>CFB Saturday night</t>
        </is>
      </c>
      <c r="J211" t="inlineStr">
        <is>
          <t>CFB</t>
        </is>
      </c>
      <c r="K211" t="inlineStr">
        <is>
          <t>CFB</t>
        </is>
      </c>
      <c r="L211" t="inlineStr">
        <is>
          <t>spread</t>
        </is>
      </c>
      <c r="M211" t="inlineStr">
        <is>
          <t>LSU -10</t>
        </is>
      </c>
      <c r="N211" t="n">
        <v>1</v>
      </c>
      <c r="O211" t="inlineStr">
        <is>
          <t>not shown</t>
        </is>
      </c>
      <c r="P211" s="4" t="inlineStr"/>
      <c r="Q211" s="5" t="inlineStr"/>
      <c r="R211" t="inlineStr"/>
      <c r="S211" s="5" t="inlineStr"/>
      <c r="T211" t="inlineStr">
        <is>
          <t>not shown</t>
        </is>
      </c>
      <c r="U211" t="inlineStr">
        <is>
          <t>W</t>
        </is>
      </c>
      <c r="V211" s="5">
        <f>IF(NOT(ISNUMBER(Q211)),"",IF(U211="W",IF(ISNUMBER(S211),S211-Q211,IF(ISNUMBER(P211),Q211*(P211-1),"")),IF(U211="L",-Q211,IF(U211="Push",0,""))))</f>
        <v/>
      </c>
      <c r="W211">
        <f>IF(NOT(ISNUMBER(R211)),"",IF(U211="W",IF(ISNUMBER(P211),R211*(P211-1),""),IF(U211="L",-R211,IF(U211="Push",0,""))))</f>
        <v/>
      </c>
      <c r="X211" t="inlineStr">
        <is>
          <t>graded from final</t>
        </is>
      </c>
      <c r="Y211" t="inlineStr">
        <is>
          <t>N</t>
        </is>
      </c>
      <c r="Z211" t="inlineStr">
        <is>
          <t>https://x.com/BookitWithTrent/status/2096371334024495161</t>
        </is>
      </c>
      <c r="AA211" t="inlineStr">
        <is>
          <t>"Mortal Mega Max"</t>
        </is>
      </c>
      <c r="AB211" t="inlineStr">
        <is>
          <t>Single</t>
        </is>
      </c>
      <c r="AC211" s="5">
        <f>IF(ISNUMBER(V211),Q211,"")</f>
        <v/>
      </c>
      <c r="AD211">
        <f>IF(ISNUMBER(W211),R211,"")</f>
        <v/>
      </c>
    </row>
    <row r="212">
      <c r="A212" t="inlineStr">
        <is>
          <t>S-229132</t>
        </is>
      </c>
      <c r="B212" t="inlineStr">
        <is>
          <t>Steve</t>
        </is>
      </c>
      <c r="C212" s="2" t="n">
        <v>46270.77078703704</v>
      </c>
      <c r="D212">
        <f>IF(C212="","",TEXT(C212,"dddd"))</f>
        <v/>
      </c>
      <c r="E212" s="3" t="n">
        <v>46270</v>
      </c>
      <c r="F212">
        <f>IF(E212="","",TEXT(E212,"dddd"))</f>
        <v/>
      </c>
      <c r="G212" t="inlineStr">
        <is>
          <t>10:00 PM</t>
        </is>
      </c>
      <c r="H212" t="inlineStr">
        <is>
          <t>Y</t>
        </is>
      </c>
      <c r="I212" t="inlineStr">
        <is>
          <t>CFB Saturday night</t>
        </is>
      </c>
      <c r="J212" t="inlineStr">
        <is>
          <t>CFB</t>
        </is>
      </c>
      <c r="K212" t="inlineStr">
        <is>
          <t>CFB</t>
        </is>
      </c>
      <c r="L212" t="inlineStr">
        <is>
          <t>spread</t>
        </is>
      </c>
      <c r="M212" t="inlineStr">
        <is>
          <t>Hawaii +3.5 vs UNLV</t>
        </is>
      </c>
      <c r="N212" t="n">
        <v>1</v>
      </c>
      <c r="O212" t="inlineStr">
        <is>
          <t>-130</t>
        </is>
      </c>
      <c r="P212" s="4" t="n">
        <v>1.7692</v>
      </c>
      <c r="Q212" s="5" t="n">
        <v>80000</v>
      </c>
      <c r="R212" t="inlineStr"/>
      <c r="S212" s="5" t="n">
        <v>141600</v>
      </c>
      <c r="T212" t="inlineStr">
        <is>
          <t>Gamdom</t>
        </is>
      </c>
      <c r="U212" t="inlineStr">
        <is>
          <t>L</t>
        </is>
      </c>
      <c r="V212" s="5">
        <f>IF(NOT(ISNUMBER(Q212)),"",IF(U212="W",IF(ISNUMBER(S212),S212-Q212,IF(ISNUMBER(P212),Q212*(P212-1),"")),IF(U212="L",-Q212,IF(U212="Push",0,""))))</f>
        <v/>
      </c>
      <c r="W212">
        <f>IF(NOT(ISNUMBER(R212)),"",IF(U212="W",IF(ISNUMBER(P212),R212*(P212-1),""),IF(U212="L",-R212,IF(U212="Push",0,""))))</f>
        <v/>
      </c>
      <c r="X212" t="inlineStr">
        <is>
          <t>graded from final</t>
        </is>
      </c>
      <c r="Y212" t="inlineStr">
        <is>
          <t>N</t>
        </is>
      </c>
      <c r="Z212" t="inlineStr">
        <is>
          <t>https://x.com/stevewilldoit/status/2096380338419229132</t>
        </is>
      </c>
      <c r="AA212" t="inlineStr">
        <is>
          <t>ZAYD pick "Hawaii +3 -110"</t>
        </is>
      </c>
      <c r="AB212" t="inlineStr">
        <is>
          <t>Single</t>
        </is>
      </c>
      <c r="AC212" s="5">
        <f>IF(ISNUMBER(V212),Q212,"")</f>
        <v/>
      </c>
      <c r="AD212">
        <f>IF(ISNUMBER(W212),R212,"")</f>
        <v/>
      </c>
    </row>
    <row r="213">
      <c r="A213" t="inlineStr">
        <is>
          <t>S-500135</t>
        </is>
      </c>
      <c r="B213" t="inlineStr">
        <is>
          <t>Steve</t>
        </is>
      </c>
      <c r="C213" s="2" t="n">
        <v>46271.49793981481</v>
      </c>
      <c r="D213">
        <f>IF(C213="","",TEXT(C213,"dddd"))</f>
        <v/>
      </c>
      <c r="E213" s="3" t="n">
        <v>46271</v>
      </c>
      <c r="F213">
        <f>IF(E213="","",TEXT(E213,"dddd"))</f>
        <v/>
      </c>
      <c r="G213" t="inlineStr">
        <is>
          <t>4:10 PM</t>
        </is>
      </c>
      <c r="H213" t="inlineStr">
        <is>
          <t>N</t>
        </is>
      </c>
      <c r="I213" t="inlineStr"/>
      <c r="J213" t="inlineStr">
        <is>
          <t>MLB</t>
        </is>
      </c>
      <c r="K213" t="inlineStr">
        <is>
          <t>MLB</t>
        </is>
      </c>
      <c r="L213" t="inlineStr">
        <is>
          <t>ML</t>
        </is>
      </c>
      <c r="M213" t="inlineStr">
        <is>
          <t>Seattle Mariners ML vs Athletics</t>
        </is>
      </c>
      <c r="N213" t="n">
        <v>1</v>
      </c>
      <c r="O213" t="inlineStr">
        <is>
          <t>-204</t>
        </is>
      </c>
      <c r="P213" s="4" t="n">
        <v>1.4902</v>
      </c>
      <c r="Q213" s="5" t="n">
        <v>1000000</v>
      </c>
      <c r="R213" t="inlineStr"/>
      <c r="S213" s="5" t="n">
        <v>1490000</v>
      </c>
      <c r="T213" t="inlineStr">
        <is>
          <t>Gamdom</t>
        </is>
      </c>
      <c r="U213" t="inlineStr">
        <is>
          <t>W</t>
        </is>
      </c>
      <c r="V213" s="5">
        <f>IF(NOT(ISNUMBER(Q213)),"",IF(U213="W",IF(ISNUMBER(S213),S213-Q213,IF(ISNUMBER(P213),Q213*(P213-1),"")),IF(U213="L",-Q213,IF(U213="Push",0,""))))</f>
        <v/>
      </c>
      <c r="W213">
        <f>IF(NOT(ISNUMBER(R213)),"",IF(U213="W",IF(ISNUMBER(P213),R213*(P213-1),""),IF(U213="L",-R213,IF(U213="Push",0,""))))</f>
        <v/>
      </c>
      <c r="X213" t="inlineStr">
        <is>
          <t>posted</t>
        </is>
      </c>
      <c r="Y213" t="inlineStr">
        <is>
          <t>Y - tags Gamdom</t>
        </is>
      </c>
      <c r="Z213" t="inlineStr">
        <is>
          <t>https://x.com/stevewilldoit/status/2096643850823500135</t>
        </is>
      </c>
      <c r="AA213" t="inlineStr">
        <is>
          <t>"$1,000,000... BIGGEST LOCK" (6ix9ine); "BOOOOOOOOOM" win posted</t>
        </is>
      </c>
      <c r="AB213" t="inlineStr">
        <is>
          <t>Single</t>
        </is>
      </c>
      <c r="AC213" s="5">
        <f>IF(ISNUMBER(V213),Q213,"")</f>
        <v/>
      </c>
      <c r="AD213">
        <f>IF(ISNUMBER(W213),R213,"")</f>
        <v/>
      </c>
    </row>
    <row r="214">
      <c r="A214" t="inlineStr">
        <is>
          <t>T-213978</t>
        </is>
      </c>
      <c r="B214" t="inlineStr">
        <is>
          <t>Trent</t>
        </is>
      </c>
      <c r="C214" s="2" t="n">
        <v>46271.60443287037</v>
      </c>
      <c r="D214">
        <f>IF(C214="","",TEXT(C214,"dddd"))</f>
        <v/>
      </c>
      <c r="E214" s="3" t="n">
        <v>46271</v>
      </c>
      <c r="F214">
        <f>IF(E214="","",TEXT(E214,"dddd"))</f>
        <v/>
      </c>
      <c r="G214" t="inlineStr">
        <is>
          <t>4:00 PM</t>
        </is>
      </c>
      <c r="H214" t="inlineStr">
        <is>
          <t>N</t>
        </is>
      </c>
      <c r="I214" t="inlineStr"/>
      <c r="J214" t="inlineStr">
        <is>
          <t>CFB</t>
        </is>
      </c>
      <c r="K214" t="inlineStr">
        <is>
          <t>CFB</t>
        </is>
      </c>
      <c r="L214" t="inlineStr">
        <is>
          <t>total</t>
        </is>
      </c>
      <c r="M214" t="inlineStr">
        <is>
          <t>Washington/Washington State Under 51.5</t>
        </is>
      </c>
      <c r="N214" t="n">
        <v>1</v>
      </c>
      <c r="O214" t="inlineStr">
        <is>
          <t>not shown</t>
        </is>
      </c>
      <c r="P214" s="4" t="inlineStr"/>
      <c r="Q214" s="5" t="inlineStr"/>
      <c r="R214" t="inlineStr"/>
      <c r="S214" s="5" t="inlineStr"/>
      <c r="T214" t="inlineStr">
        <is>
          <t>not shown</t>
        </is>
      </c>
      <c r="U214" t="inlineStr">
        <is>
          <t>W</t>
        </is>
      </c>
      <c r="V214" s="5">
        <f>IF(NOT(ISNUMBER(Q214)),"",IF(U214="W",IF(ISNUMBER(S214),S214-Q214,IF(ISNUMBER(P214),Q214*(P214-1),"")),IF(U214="L",-Q214,IF(U214="Push",0,""))))</f>
        <v/>
      </c>
      <c r="W214">
        <f>IF(NOT(ISNUMBER(R214)),"",IF(U214="W",IF(ISNUMBER(P214),R214*(P214-1),""),IF(U214="L",-R214,IF(U214="Push",0,""))))</f>
        <v/>
      </c>
      <c r="X214" t="inlineStr">
        <is>
          <t>graded from final</t>
        </is>
      </c>
      <c r="Y214" t="inlineStr">
        <is>
          <t>N</t>
        </is>
      </c>
      <c r="Z214" t="inlineStr">
        <is>
          <t>https://x.com/BookitWithTrent/status/2096682444678213978</t>
        </is>
      </c>
      <c r="AA214" t="inlineStr">
        <is>
          <t>CFB Mortal Megas (Sunday card)</t>
        </is>
      </c>
      <c r="AB214" t="inlineStr">
        <is>
          <t>Single</t>
        </is>
      </c>
      <c r="AC214" s="5">
        <f>IF(ISNUMBER(V214),Q214,"")</f>
        <v/>
      </c>
      <c r="AD214">
        <f>IF(ISNUMBER(W214),R214,"")</f>
        <v/>
      </c>
    </row>
    <row r="215">
      <c r="A215" t="inlineStr">
        <is>
          <t>T-213978b</t>
        </is>
      </c>
      <c r="B215" t="inlineStr">
        <is>
          <t>Trent</t>
        </is>
      </c>
      <c r="C215" s="2" t="n">
        <v>46271.60443287037</v>
      </c>
      <c r="D215">
        <f>IF(C215="","",TEXT(C215,"dddd"))</f>
        <v/>
      </c>
      <c r="E215" s="3" t="n">
        <v>46270</v>
      </c>
      <c r="F215">
        <f>IF(E215="","",TEXT(E215,"dddd"))</f>
        <v/>
      </c>
      <c r="G215" t="inlineStr">
        <is>
          <t>7:30 PM</t>
        </is>
      </c>
      <c r="H215" t="inlineStr">
        <is>
          <t>Y</t>
        </is>
      </c>
      <c r="I215" t="inlineStr">
        <is>
          <t>CFB weeknight (Tue-Fri)</t>
        </is>
      </c>
      <c r="J215" t="inlineStr">
        <is>
          <t>CFB</t>
        </is>
      </c>
      <c r="K215" t="inlineStr">
        <is>
          <t>CFB</t>
        </is>
      </c>
      <c r="L215" t="inlineStr">
        <is>
          <t>spread</t>
        </is>
      </c>
      <c r="M215" t="inlineStr">
        <is>
          <t>Wisconsin +21.5</t>
        </is>
      </c>
      <c r="N215" t="n">
        <v>1</v>
      </c>
      <c r="O215" t="inlineStr">
        <is>
          <t>not shown</t>
        </is>
      </c>
      <c r="P215" s="4" t="inlineStr"/>
      <c r="Q215" s="5" t="inlineStr"/>
      <c r="R215" t="inlineStr"/>
      <c r="S215" s="5" t="inlineStr"/>
      <c r="T215" t="inlineStr">
        <is>
          <t>not shown</t>
        </is>
      </c>
      <c r="U215" t="inlineStr">
        <is>
          <t>L</t>
        </is>
      </c>
      <c r="V215" s="5">
        <f>IF(NOT(ISNUMBER(Q215)),"",IF(U215="W",IF(ISNUMBER(S215),S215-Q215,IF(ISNUMBER(P215),Q215*(P215-1),"")),IF(U215="L",-Q215,IF(U215="Push",0,""))))</f>
        <v/>
      </c>
      <c r="W215">
        <f>IF(NOT(ISNUMBER(R215)),"",IF(U215="W",IF(ISNUMBER(P215),R215*(P215-1),""),IF(U215="L",-R215,IF(U215="Push",0,""))))</f>
        <v/>
      </c>
      <c r="X215" t="inlineStr">
        <is>
          <t>graded from final</t>
        </is>
      </c>
      <c r="Y215" t="inlineStr">
        <is>
          <t>N</t>
        </is>
      </c>
      <c r="Z215" t="inlineStr">
        <is>
          <t>https://x.com/BookitWithTrent/status/2096682444678213978</t>
        </is>
      </c>
      <c r="AA215" t="inlineStr">
        <is>
          <t>CFB Mortal Megas</t>
        </is>
      </c>
      <c r="AB215" t="inlineStr">
        <is>
          <t>Single</t>
        </is>
      </c>
      <c r="AC215" s="5">
        <f>IF(ISNUMBER(V215),Q215,"")</f>
        <v/>
      </c>
      <c r="AD215">
        <f>IF(ISNUMBER(W215),R215,"")</f>
        <v/>
      </c>
    </row>
    <row r="216">
      <c r="A216" t="inlineStr">
        <is>
          <t>T-213978c</t>
        </is>
      </c>
      <c r="B216" t="inlineStr">
        <is>
          <t>Trent</t>
        </is>
      </c>
      <c r="C216" s="2" t="n">
        <v>46271.60443287037</v>
      </c>
      <c r="D216">
        <f>IF(C216="","",TEXT(C216,"dddd"))</f>
        <v/>
      </c>
      <c r="E216" s="3" t="n">
        <v>46271</v>
      </c>
      <c r="F216">
        <f>IF(E216="","",TEXT(E216,"dddd"))</f>
        <v/>
      </c>
      <c r="G216" t="inlineStr">
        <is>
          <t>7:30 PM</t>
        </is>
      </c>
      <c r="H216" t="inlineStr">
        <is>
          <t>Y</t>
        </is>
      </c>
      <c r="I216" t="inlineStr">
        <is>
          <t>CFB weeknight (Tue-Fri)</t>
        </is>
      </c>
      <c r="J216" t="inlineStr">
        <is>
          <t>CFB</t>
        </is>
      </c>
      <c r="K216" t="inlineStr">
        <is>
          <t>CFB</t>
        </is>
      </c>
      <c r="L216" t="inlineStr">
        <is>
          <t>spread</t>
        </is>
      </c>
      <c r="M216" t="inlineStr">
        <is>
          <t>Ole Miss -6.5</t>
        </is>
      </c>
      <c r="N216" t="n">
        <v>1</v>
      </c>
      <c r="O216" t="inlineStr">
        <is>
          <t>not shown</t>
        </is>
      </c>
      <c r="P216" s="4" t="inlineStr"/>
      <c r="Q216" s="5" t="inlineStr"/>
      <c r="R216" t="inlineStr"/>
      <c r="S216" s="5" t="inlineStr"/>
      <c r="T216" t="inlineStr">
        <is>
          <t>not shown</t>
        </is>
      </c>
      <c r="U216" t="inlineStr">
        <is>
          <t>L</t>
        </is>
      </c>
      <c r="V216" s="5">
        <f>IF(NOT(ISNUMBER(Q216)),"",IF(U216="W",IF(ISNUMBER(S216),S216-Q216,IF(ISNUMBER(P216),Q216*(P216-1),"")),IF(U216="L",-Q216,IF(U216="Push",0,""))))</f>
        <v/>
      </c>
      <c r="W216">
        <f>IF(NOT(ISNUMBER(R216)),"",IF(U216="W",IF(ISNUMBER(P216),R216*(P216-1),""),IF(U216="L",-R216,IF(U216="Push",0,""))))</f>
        <v/>
      </c>
      <c r="X216" t="inlineStr">
        <is>
          <t>graded from final</t>
        </is>
      </c>
      <c r="Y216" t="inlineStr">
        <is>
          <t>N</t>
        </is>
      </c>
      <c r="Z216" t="inlineStr">
        <is>
          <t>https://x.com/BookitWithTrent/status/2096682444678213978</t>
        </is>
      </c>
      <c r="AA216" t="inlineStr">
        <is>
          <t>CFB Mortal Megas</t>
        </is>
      </c>
      <c r="AB216" t="inlineStr">
        <is>
          <t>Single</t>
        </is>
      </c>
      <c r="AC216" s="5">
        <f>IF(ISNUMBER(V216),Q216,"")</f>
        <v/>
      </c>
      <c r="AD216">
        <f>IF(ISNUMBER(W216),R216,"")</f>
        <v/>
      </c>
    </row>
    <row r="217">
      <c r="A217" t="inlineStr">
        <is>
          <t>T-193378</t>
        </is>
      </c>
      <c r="B217" t="inlineStr">
        <is>
          <t>Trent</t>
        </is>
      </c>
      <c r="C217" s="2" t="n">
        <v>46271.8789699074</v>
      </c>
      <c r="D217">
        <f>IF(C217="","",TEXT(C217,"dddd"))</f>
        <v/>
      </c>
      <c r="E217" s="3" t="n">
        <v>46271</v>
      </c>
      <c r="F217">
        <f>IF(E217="","",TEXT(E217,"dddd"))</f>
        <v/>
      </c>
      <c r="G217" t="inlineStr">
        <is>
          <t>10:10 PM</t>
        </is>
      </c>
      <c r="H217" t="inlineStr">
        <is>
          <t>N</t>
        </is>
      </c>
      <c r="I217" t="inlineStr"/>
      <c r="J217" t="inlineStr">
        <is>
          <t>MLB</t>
        </is>
      </c>
      <c r="K217" t="inlineStr">
        <is>
          <t>MLB</t>
        </is>
      </c>
      <c r="L217" t="inlineStr">
        <is>
          <t>spread</t>
        </is>
      </c>
      <c r="M217" t="inlineStr">
        <is>
          <t>Dodgers -1.5</t>
        </is>
      </c>
      <c r="N217" t="n">
        <v>1</v>
      </c>
      <c r="O217" t="inlineStr">
        <is>
          <t>not shown</t>
        </is>
      </c>
      <c r="P217" s="4" t="inlineStr"/>
      <c r="Q217" s="5" t="inlineStr"/>
      <c r="R217" t="inlineStr"/>
      <c r="S217" s="5" t="inlineStr"/>
      <c r="T217" t="inlineStr">
        <is>
          <t>not shown</t>
        </is>
      </c>
      <c r="U217" t="inlineStr">
        <is>
          <t>W</t>
        </is>
      </c>
      <c r="V217" s="5">
        <f>IF(NOT(ISNUMBER(Q217)),"",IF(U217="W",IF(ISNUMBER(S217),S217-Q217,IF(ISNUMBER(P217),Q217*(P217-1),"")),IF(U217="L",-Q217,IF(U217="Push",0,""))))</f>
        <v/>
      </c>
      <c r="W217">
        <f>IF(NOT(ISNUMBER(R217)),"",IF(U217="W",IF(ISNUMBER(P217),R217*(P217-1),""),IF(U217="L",-R217,IF(U217="Push",0,""))))</f>
        <v/>
      </c>
      <c r="X217" t="inlineStr">
        <is>
          <t>graded from final</t>
        </is>
      </c>
      <c r="Y217" t="inlineStr">
        <is>
          <t>N</t>
        </is>
      </c>
      <c r="Z217" t="inlineStr">
        <is>
          <t>https://x.com/BookitWithTrent/status/2096781931220193378</t>
        </is>
      </c>
      <c r="AA217" t="inlineStr">
        <is>
          <t>"Late night mortal mega max"</t>
        </is>
      </c>
      <c r="AB217" t="inlineStr">
        <is>
          <t>Single</t>
        </is>
      </c>
      <c r="AC217" s="5">
        <f>IF(ISNUMBER(V217),Q217,"")</f>
        <v/>
      </c>
      <c r="AD217">
        <f>IF(ISNUMBER(W217),R217,"")</f>
        <v/>
      </c>
    </row>
    <row r="218">
      <c r="A218" t="inlineStr">
        <is>
          <t>S-857658</t>
        </is>
      </c>
      <c r="B218" t="inlineStr">
        <is>
          <t>Steve</t>
        </is>
      </c>
      <c r="C218" s="2" t="n">
        <v>46271.90370370371</v>
      </c>
      <c r="D218">
        <f>IF(C218="","",TEXT(C218,"dddd"))</f>
        <v/>
      </c>
      <c r="E218" s="3" t="n">
        <v>46271</v>
      </c>
      <c r="F218">
        <f>IF(E218="","",TEXT(E218,"dddd"))</f>
        <v/>
      </c>
      <c r="G218" t="inlineStr">
        <is>
          <t>10:10 PM</t>
        </is>
      </c>
      <c r="H218" t="inlineStr">
        <is>
          <t>N</t>
        </is>
      </c>
      <c r="I218" t="inlineStr"/>
      <c r="J218" t="inlineStr">
        <is>
          <t>MLB</t>
        </is>
      </c>
      <c r="K218" t="inlineStr">
        <is>
          <t>MLB</t>
        </is>
      </c>
      <c r="L218" t="inlineStr">
        <is>
          <t>ML</t>
        </is>
      </c>
      <c r="M218" t="inlineStr">
        <is>
          <t>Los Angeles Dodgers ML vs Washington Nationals</t>
        </is>
      </c>
      <c r="N218" t="n">
        <v>1</v>
      </c>
      <c r="O218" t="inlineStr">
        <is>
          <t>-204</t>
        </is>
      </c>
      <c r="P218" s="4" t="n">
        <v>1.4902</v>
      </c>
      <c r="Q218" s="5" t="n">
        <v>70000</v>
      </c>
      <c r="R218" t="inlineStr"/>
      <c r="S218" s="5" t="n">
        <v>104300</v>
      </c>
      <c r="T218" t="inlineStr">
        <is>
          <t>Gamdom</t>
        </is>
      </c>
      <c r="U218" t="inlineStr">
        <is>
          <t>W</t>
        </is>
      </c>
      <c r="V218" s="5">
        <f>IF(NOT(ISNUMBER(Q218)),"",IF(U218="W",IF(ISNUMBER(S218),S218-Q218,IF(ISNUMBER(P218),Q218*(P218-1),"")),IF(U218="L",-Q218,IF(U218="Push",0,""))))</f>
        <v/>
      </c>
      <c r="W218">
        <f>IF(NOT(ISNUMBER(R218)),"",IF(U218="W",IF(ISNUMBER(P218),R218*(P218-1),""),IF(U218="L",-R218,IF(U218="Push",0,""))))</f>
        <v/>
      </c>
      <c r="X218" t="inlineStr">
        <is>
          <t>graded from final</t>
        </is>
      </c>
      <c r="Y218" t="inlineStr">
        <is>
          <t>Y - tags Gamdom</t>
        </is>
      </c>
      <c r="Z218" t="inlineStr">
        <is>
          <t>https://x.com/stevewilldoit/status/2096790893281857658</t>
        </is>
      </c>
      <c r="AA218" t="inlineStr">
        <is>
          <t>Riding with 6ix9ine</t>
        </is>
      </c>
      <c r="AB218" t="inlineStr">
        <is>
          <t>Single</t>
        </is>
      </c>
      <c r="AC218" s="5">
        <f>IF(ISNUMBER(V218),Q218,"")</f>
        <v/>
      </c>
      <c r="AD218">
        <f>IF(ISNUMBER(W218),R218,"")</f>
        <v/>
      </c>
    </row>
    <row r="219">
      <c r="A219" t="inlineStr">
        <is>
          <t>S-857658b</t>
        </is>
      </c>
      <c r="B219" t="inlineStr">
        <is>
          <t>Steve</t>
        </is>
      </c>
      <c r="C219" s="2" t="n">
        <v>46271.90370370371</v>
      </c>
      <c r="D219">
        <f>IF(C219="","",TEXT(C219,"dddd"))</f>
        <v/>
      </c>
      <c r="E219" s="3" t="n">
        <v>46271</v>
      </c>
      <c r="F219">
        <f>IF(E219="","",TEXT(E219,"dddd"))</f>
        <v/>
      </c>
      <c r="G219" t="inlineStr">
        <is>
          <t>10:10 PM</t>
        </is>
      </c>
      <c r="H219" t="inlineStr">
        <is>
          <t>N</t>
        </is>
      </c>
      <c r="I219" t="inlineStr"/>
      <c r="J219" t="inlineStr">
        <is>
          <t>MLB</t>
        </is>
      </c>
      <c r="K219" t="inlineStr">
        <is>
          <t>MLB</t>
        </is>
      </c>
      <c r="L219" t="inlineStr">
        <is>
          <t>ML</t>
        </is>
      </c>
      <c r="M219" t="inlineStr">
        <is>
          <t>Los Angeles Dodgers ML vs Washington Nationals</t>
        </is>
      </c>
      <c r="N219" t="n">
        <v>1</v>
      </c>
      <c r="O219" t="inlineStr">
        <is>
          <t>-200</t>
        </is>
      </c>
      <c r="P219" s="4" t="n">
        <v>1.5</v>
      </c>
      <c r="Q219" s="5" t="n">
        <v>38000</v>
      </c>
      <c r="R219" t="inlineStr"/>
      <c r="S219" s="5" t="n">
        <v>57000</v>
      </c>
      <c r="T219" t="inlineStr">
        <is>
          <t>Gamdom</t>
        </is>
      </c>
      <c r="U219" t="inlineStr">
        <is>
          <t>W</t>
        </is>
      </c>
      <c r="V219" s="5">
        <f>IF(NOT(ISNUMBER(Q219)),"",IF(U219="W",IF(ISNUMBER(S219),S219-Q219,IF(ISNUMBER(P219),Q219*(P219-1),"")),IF(U219="L",-Q219,IF(U219="Push",0,""))))</f>
        <v/>
      </c>
      <c r="W219">
        <f>IF(NOT(ISNUMBER(R219)),"",IF(U219="W",IF(ISNUMBER(P219),R219*(P219-1),""),IF(U219="L",-R219,IF(U219="Push",0,""))))</f>
        <v/>
      </c>
      <c r="X219" t="inlineStr">
        <is>
          <t>graded from final</t>
        </is>
      </c>
      <c r="Y219" t="inlineStr">
        <is>
          <t>Y - tags Gamdom</t>
        </is>
      </c>
      <c r="Z219" t="inlineStr">
        <is>
          <t>https://x.com/stevewilldoit/status/2096790893281857658</t>
        </is>
      </c>
      <c r="AA219" t="inlineStr">
        <is>
          <t>Second Dodgers slip</t>
        </is>
      </c>
      <c r="AB219" t="inlineStr">
        <is>
          <t>Single</t>
        </is>
      </c>
      <c r="AC219" s="5">
        <f>IF(ISNUMBER(V219),Q219,"")</f>
        <v/>
      </c>
      <c r="AD219">
        <f>IF(ISNUMBER(W219),R219,"")</f>
        <v/>
      </c>
    </row>
    <row r="220">
      <c r="A220" t="inlineStr">
        <is>
          <t>S-503768</t>
        </is>
      </c>
      <c r="B220" t="inlineStr">
        <is>
          <t>Steve</t>
        </is>
      </c>
      <c r="C220" s="2" t="n">
        <v>46271.95059027777</v>
      </c>
      <c r="D220">
        <f>IF(C220="","",TEXT(C220,"dddd"))</f>
        <v/>
      </c>
      <c r="E220" s="3" t="n">
        <v>46271</v>
      </c>
      <c r="F220">
        <f>IF(E220="","",TEXT(E220,"dddd"))</f>
        <v/>
      </c>
      <c r="G220" t="inlineStr">
        <is>
          <t>10:10 PM</t>
        </is>
      </c>
      <c r="H220" t="inlineStr">
        <is>
          <t>N</t>
        </is>
      </c>
      <c r="I220" t="inlineStr"/>
      <c r="J220" t="inlineStr">
        <is>
          <t>MLB</t>
        </is>
      </c>
      <c r="K220" t="inlineStr">
        <is>
          <t>MLB</t>
        </is>
      </c>
      <c r="L220" t="inlineStr">
        <is>
          <t>ML</t>
        </is>
      </c>
      <c r="M220" t="inlineStr">
        <is>
          <t>Los Angeles Dodgers ML (live, down 1-4) vs Nationals</t>
        </is>
      </c>
      <c r="N220" t="n">
        <v>1</v>
      </c>
      <c r="O220" t="inlineStr">
        <is>
          <t>+220</t>
        </is>
      </c>
      <c r="P220" s="4" t="n">
        <v>3.2</v>
      </c>
      <c r="Q220" s="5" t="n">
        <v>26000</v>
      </c>
      <c r="R220" t="inlineStr"/>
      <c r="S220" s="5" t="n">
        <v>83200</v>
      </c>
      <c r="T220" t="inlineStr">
        <is>
          <t>Gamdom</t>
        </is>
      </c>
      <c r="U220" t="inlineStr">
        <is>
          <t>W</t>
        </is>
      </c>
      <c r="V220" s="5">
        <f>IF(NOT(ISNUMBER(Q220)),"",IF(U220="W",IF(ISNUMBER(S220),S220-Q220,IF(ISNUMBER(P220),Q220*(P220-1),"")),IF(U220="L",-Q220,IF(U220="Push",0,""))))</f>
        <v/>
      </c>
      <c r="W220">
        <f>IF(NOT(ISNUMBER(R220)),"",IF(U220="W",IF(ISNUMBER(P220),R220*(P220-1),""),IF(U220="L",-R220,IF(U220="Push",0,""))))</f>
        <v/>
      </c>
      <c r="X220" t="inlineStr">
        <is>
          <t>graded from final</t>
        </is>
      </c>
      <c r="Y220" t="inlineStr">
        <is>
          <t>Y - tags Gamdom</t>
        </is>
      </c>
      <c r="Z220" t="inlineStr">
        <is>
          <t>https://x.com/stevewilldoit/status/2096807884281503768</t>
        </is>
      </c>
      <c r="AA220" t="inlineStr">
        <is>
          <t>"Now it's 4-4! BOOOOOOM"</t>
        </is>
      </c>
      <c r="AB220" t="inlineStr">
        <is>
          <t>Single</t>
        </is>
      </c>
      <c r="AC220" s="5">
        <f>IF(ISNUMBER(V220),Q220,"")</f>
        <v/>
      </c>
      <c r="AD220">
        <f>IF(ISNUMBER(W220),R220,"")</f>
        <v/>
      </c>
    </row>
    <row r="221">
      <c r="A221" t="inlineStr">
        <is>
          <t>S-772718</t>
        </is>
      </c>
      <c r="B221" t="inlineStr">
        <is>
          <t>Steve</t>
        </is>
      </c>
      <c r="C221" s="2" t="n">
        <v>46272.02424768519</v>
      </c>
      <c r="D221">
        <f>IF(C221="","",TEXT(C221,"dddd"))</f>
        <v/>
      </c>
      <c r="E221" s="3" t="n">
        <v>46272</v>
      </c>
      <c r="F221">
        <f>IF(E221="","",TEXT(E221,"dddd"))</f>
        <v/>
      </c>
      <c r="G221" t="inlineStr">
        <is>
          <t>7:30 PM</t>
        </is>
      </c>
      <c r="H221" t="inlineStr">
        <is>
          <t>Y</t>
        </is>
      </c>
      <c r="I221" t="inlineStr">
        <is>
          <t>CFB weeknight (Tue-Fri)</t>
        </is>
      </c>
      <c r="J221" t="inlineStr">
        <is>
          <t>CFB</t>
        </is>
      </c>
      <c r="K221" t="inlineStr">
        <is>
          <t>CFB</t>
        </is>
      </c>
      <c r="L221" t="inlineStr">
        <is>
          <t>spread</t>
        </is>
      </c>
      <c r="M221" t="inlineStr">
        <is>
          <t>Florida State +3.5 vs SMU</t>
        </is>
      </c>
      <c r="N221" t="n">
        <v>1</v>
      </c>
      <c r="O221" t="inlineStr">
        <is>
          <t>-135</t>
        </is>
      </c>
      <c r="P221" s="4" t="n">
        <v>1.7407</v>
      </c>
      <c r="Q221" s="5" t="n">
        <v>135000</v>
      </c>
      <c r="R221" t="inlineStr"/>
      <c r="S221" s="5" t="n">
        <v>234900</v>
      </c>
      <c r="T221" t="inlineStr">
        <is>
          <t>Gamdom</t>
        </is>
      </c>
      <c r="U221" t="inlineStr">
        <is>
          <t>W</t>
        </is>
      </c>
      <c r="V221" s="5">
        <f>IF(NOT(ISNUMBER(Q221)),"",IF(U221="W",IF(ISNUMBER(S221),S221-Q221,IF(ISNUMBER(P221),Q221*(P221-1),"")),IF(U221="L",-Q221,IF(U221="Push",0,""))))</f>
        <v/>
      </c>
      <c r="W221">
        <f>IF(NOT(ISNUMBER(R221)),"",IF(U221="W",IF(ISNUMBER(P221),R221*(P221-1),""),IF(U221="L",-R221,IF(U221="Push",0,""))))</f>
        <v/>
      </c>
      <c r="X221" t="inlineStr">
        <is>
          <t>graded from final</t>
        </is>
      </c>
      <c r="Y221" t="inlineStr">
        <is>
          <t>Y - tags Gamdom</t>
        </is>
      </c>
      <c r="Z221" t="inlineStr">
        <is>
          <t>https://x.com/stevewilldoit/status/2096834578442772718</t>
        </is>
      </c>
      <c r="AA221" t="inlineStr">
        <is>
          <t>AI guy "Florida state +3 tmw"</t>
        </is>
      </c>
      <c r="AB221" t="inlineStr">
        <is>
          <t>Single</t>
        </is>
      </c>
      <c r="AC221" s="5">
        <f>IF(ISNUMBER(V221),Q221,"")</f>
        <v/>
      </c>
      <c r="AD221">
        <f>IF(ISNUMBER(W221),R221,"")</f>
        <v/>
      </c>
    </row>
    <row r="222">
      <c r="A222" t="inlineStr">
        <is>
          <t>T-749338</t>
        </is>
      </c>
      <c r="B222" t="inlineStr">
        <is>
          <t>Trent</t>
        </is>
      </c>
      <c r="C222" s="2" t="n">
        <v>46272.49493055556</v>
      </c>
      <c r="D222">
        <f>IF(C222="","",TEXT(C222,"dddd"))</f>
        <v/>
      </c>
      <c r="E222" s="3" t="n">
        <v>46272</v>
      </c>
      <c r="F222">
        <f>IF(E222="","",TEXT(E222,"dddd"))</f>
        <v/>
      </c>
      <c r="G222" t="inlineStr">
        <is>
          <t>1:05 PM</t>
        </is>
      </c>
      <c r="H222" t="inlineStr">
        <is>
          <t>N</t>
        </is>
      </c>
      <c r="I222" t="inlineStr"/>
      <c r="J222" t="inlineStr">
        <is>
          <t>MLB</t>
        </is>
      </c>
      <c r="K222" t="inlineStr">
        <is>
          <t>MLB</t>
        </is>
      </c>
      <c r="L222" t="inlineStr">
        <is>
          <t>spread</t>
        </is>
      </c>
      <c r="M222" t="inlineStr">
        <is>
          <t>Phillies -1.5</t>
        </is>
      </c>
      <c r="N222" t="n">
        <v>1</v>
      </c>
      <c r="O222" t="inlineStr">
        <is>
          <t>+115</t>
        </is>
      </c>
      <c r="P222" s="4" t="n">
        <v>2.15</v>
      </c>
      <c r="Q222" s="5" t="inlineStr"/>
      <c r="R222" t="inlineStr"/>
      <c r="S222" s="5" t="inlineStr"/>
      <c r="T222" t="inlineStr">
        <is>
          <t>not shown</t>
        </is>
      </c>
      <c r="U222" t="inlineStr">
        <is>
          <t>L</t>
        </is>
      </c>
      <c r="V222" s="5">
        <f>IF(NOT(ISNUMBER(Q222)),"",IF(U222="W",IF(ISNUMBER(S222),S222-Q222,IF(ISNUMBER(P222),Q222*(P222-1),"")),IF(U222="L",-Q222,IF(U222="Push",0,""))))</f>
        <v/>
      </c>
      <c r="W222">
        <f>IF(NOT(ISNUMBER(R222)),"",IF(U222="W",IF(ISNUMBER(P222),R222*(P222-1),""),IF(U222="L",-R222,IF(U222="Push",0,""))))</f>
        <v/>
      </c>
      <c r="X222" t="inlineStr">
        <is>
          <t>graded from final</t>
        </is>
      </c>
      <c r="Y222" t="inlineStr">
        <is>
          <t>N</t>
        </is>
      </c>
      <c r="Z222" t="inlineStr">
        <is>
          <t>https://x.com/BookitWithTrent/status/2097005147926749338</t>
        </is>
      </c>
      <c r="AA222" t="inlineStr">
        <is>
          <t>Daytime card; "If you full faded entire card you're up fat" posted before the card finished</t>
        </is>
      </c>
      <c r="AB222" t="inlineStr">
        <is>
          <t>Single</t>
        </is>
      </c>
      <c r="AC222" s="5">
        <f>IF(ISNUMBER(V222),Q222,"")</f>
        <v/>
      </c>
      <c r="AD222">
        <f>IF(ISNUMBER(W222),R222,"")</f>
        <v/>
      </c>
    </row>
    <row r="223">
      <c r="A223" t="inlineStr">
        <is>
          <t>T-749338b</t>
        </is>
      </c>
      <c r="B223" t="inlineStr">
        <is>
          <t>Trent</t>
        </is>
      </c>
      <c r="C223" s="2" t="n">
        <v>46272.49493055556</v>
      </c>
      <c r="D223">
        <f>IF(C223="","",TEXT(C223,"dddd"))</f>
        <v/>
      </c>
      <c r="E223" s="3" t="n">
        <v>46272</v>
      </c>
      <c r="F223">
        <f>IF(E223="","",TEXT(E223,"dddd"))</f>
        <v/>
      </c>
      <c r="G223" t="inlineStr">
        <is>
          <t>1:10 PM</t>
        </is>
      </c>
      <c r="H223" t="inlineStr">
        <is>
          <t>N</t>
        </is>
      </c>
      <c r="I223" t="inlineStr"/>
      <c r="J223" t="inlineStr">
        <is>
          <t>MLB</t>
        </is>
      </c>
      <c r="K223" t="inlineStr">
        <is>
          <t>MLB</t>
        </is>
      </c>
      <c r="L223" t="inlineStr">
        <is>
          <t>total</t>
        </is>
      </c>
      <c r="M223" t="inlineStr">
        <is>
          <t>Marlins/Mets Under 8</t>
        </is>
      </c>
      <c r="N223" t="n">
        <v>1</v>
      </c>
      <c r="O223" t="inlineStr">
        <is>
          <t>-110</t>
        </is>
      </c>
      <c r="P223" s="4" t="n">
        <v>1.9091</v>
      </c>
      <c r="Q223" s="5" t="inlineStr"/>
      <c r="R223" t="inlineStr"/>
      <c r="S223" s="5" t="inlineStr"/>
      <c r="T223" t="inlineStr">
        <is>
          <t>not shown</t>
        </is>
      </c>
      <c r="U223" t="inlineStr">
        <is>
          <t>L</t>
        </is>
      </c>
      <c r="V223" s="5">
        <f>IF(NOT(ISNUMBER(Q223)),"",IF(U223="W",IF(ISNUMBER(S223),S223-Q223,IF(ISNUMBER(P223),Q223*(P223-1),"")),IF(U223="L",-Q223,IF(U223="Push",0,""))))</f>
        <v/>
      </c>
      <c r="W223">
        <f>IF(NOT(ISNUMBER(R223)),"",IF(U223="W",IF(ISNUMBER(P223),R223*(P223-1),""),IF(U223="L",-R223,IF(U223="Push",0,""))))</f>
        <v/>
      </c>
      <c r="X223" t="inlineStr">
        <is>
          <t>graded from final</t>
        </is>
      </c>
      <c r="Y223" t="inlineStr">
        <is>
          <t>N</t>
        </is>
      </c>
      <c r="Z223" t="inlineStr">
        <is>
          <t>https://x.com/BookitWithTrent/status/2097005147926749338</t>
        </is>
      </c>
      <c r="AA223" t="inlineStr">
        <is>
          <t>Daytime card; "If you full faded entire card you're up fat" posted before the card finished</t>
        </is>
      </c>
      <c r="AB223" t="inlineStr">
        <is>
          <t>Single</t>
        </is>
      </c>
      <c r="AC223" s="5">
        <f>IF(ISNUMBER(V223),Q223,"")</f>
        <v/>
      </c>
      <c r="AD223">
        <f>IF(ISNUMBER(W223),R223,"")</f>
        <v/>
      </c>
    </row>
    <row r="224">
      <c r="A224" t="inlineStr">
        <is>
          <t>T-749338c</t>
        </is>
      </c>
      <c r="B224" t="inlineStr">
        <is>
          <t>Trent</t>
        </is>
      </c>
      <c r="C224" s="2" t="n">
        <v>46272.49493055556</v>
      </c>
      <c r="D224">
        <f>IF(C224="","",TEXT(C224,"dddd"))</f>
        <v/>
      </c>
      <c r="E224" s="3" t="n">
        <v>46272</v>
      </c>
      <c r="F224">
        <f>IF(E224="","",TEXT(E224,"dddd"))</f>
        <v/>
      </c>
      <c r="G224" t="inlineStr">
        <is>
          <t>2:10 PM</t>
        </is>
      </c>
      <c r="H224" t="inlineStr">
        <is>
          <t>N</t>
        </is>
      </c>
      <c r="I224" t="inlineStr"/>
      <c r="J224" t="inlineStr">
        <is>
          <t>MLB</t>
        </is>
      </c>
      <c r="K224" t="inlineStr">
        <is>
          <t>MLB</t>
        </is>
      </c>
      <c r="L224" t="inlineStr">
        <is>
          <t>total</t>
        </is>
      </c>
      <c r="M224" t="inlineStr">
        <is>
          <t>Diamondbacks/Royals Over 9</t>
        </is>
      </c>
      <c r="N224" t="n">
        <v>1</v>
      </c>
      <c r="O224" t="inlineStr">
        <is>
          <t>-120</t>
        </is>
      </c>
      <c r="P224" s="4" t="n">
        <v>1.8333</v>
      </c>
      <c r="Q224" s="5" t="inlineStr"/>
      <c r="R224" t="inlineStr"/>
      <c r="S224" s="5" t="inlineStr"/>
      <c r="T224" t="inlineStr">
        <is>
          <t>not shown</t>
        </is>
      </c>
      <c r="U224" t="inlineStr">
        <is>
          <t>W</t>
        </is>
      </c>
      <c r="V224" s="5">
        <f>IF(NOT(ISNUMBER(Q224)),"",IF(U224="W",IF(ISNUMBER(S224),S224-Q224,IF(ISNUMBER(P224),Q224*(P224-1),"")),IF(U224="L",-Q224,IF(U224="Push",0,""))))</f>
        <v/>
      </c>
      <c r="W224">
        <f>IF(NOT(ISNUMBER(R224)),"",IF(U224="W",IF(ISNUMBER(P224),R224*(P224-1),""),IF(U224="L",-R224,IF(U224="Push",0,""))))</f>
        <v/>
      </c>
      <c r="X224" t="inlineStr">
        <is>
          <t>posted</t>
        </is>
      </c>
      <c r="Y224" t="inlineStr">
        <is>
          <t>N</t>
        </is>
      </c>
      <c r="Z224" t="inlineStr">
        <is>
          <t>https://x.com/BookitWithTrent/status/2097005147926749338</t>
        </is>
      </c>
      <c r="AA224" t="inlineStr">
        <is>
          <t>Daytime card; "0-0 in extras and the game goes over ✅ Legacy cash"; final 5-4 (9 runs) would be a push at O9, so he may have had a different line</t>
        </is>
      </c>
      <c r="AB224" t="inlineStr">
        <is>
          <t>Single</t>
        </is>
      </c>
      <c r="AC224" s="5">
        <f>IF(ISNUMBER(V224),Q224,"")</f>
        <v/>
      </c>
      <c r="AD224">
        <f>IF(ISNUMBER(W224),R224,"")</f>
        <v/>
      </c>
    </row>
    <row r="225">
      <c r="A225" t="inlineStr">
        <is>
          <t>T-749338d</t>
        </is>
      </c>
      <c r="B225" t="inlineStr">
        <is>
          <t>Trent</t>
        </is>
      </c>
      <c r="C225" s="2" t="n">
        <v>46272.49493055556</v>
      </c>
      <c r="D225">
        <f>IF(C225="","",TEXT(C225,"dddd"))</f>
        <v/>
      </c>
      <c r="E225" s="3" t="n">
        <v>46272</v>
      </c>
      <c r="F225">
        <f>IF(E225="","",TEXT(E225,"dddd"))</f>
        <v/>
      </c>
      <c r="G225" t="inlineStr">
        <is>
          <t>1:35 PM</t>
        </is>
      </c>
      <c r="H225" t="inlineStr">
        <is>
          <t>N</t>
        </is>
      </c>
      <c r="I225" t="inlineStr"/>
      <c r="J225" t="inlineStr">
        <is>
          <t>MLB</t>
        </is>
      </c>
      <c r="K225" t="inlineStr">
        <is>
          <t>MLB</t>
        </is>
      </c>
      <c r="L225" t="inlineStr">
        <is>
          <t>ML</t>
        </is>
      </c>
      <c r="M225" t="inlineStr">
        <is>
          <t>Guardians ML</t>
        </is>
      </c>
      <c r="N225" t="n">
        <v>1</v>
      </c>
      <c r="O225" t="inlineStr">
        <is>
          <t>+110</t>
        </is>
      </c>
      <c r="P225" s="4" t="n">
        <v>2.1</v>
      </c>
      <c r="Q225" s="5" t="inlineStr"/>
      <c r="R225" t="inlineStr"/>
      <c r="S225" s="5" t="inlineStr"/>
      <c r="T225" t="inlineStr">
        <is>
          <t>not shown</t>
        </is>
      </c>
      <c r="U225" t="inlineStr">
        <is>
          <t>L</t>
        </is>
      </c>
      <c r="V225" s="5">
        <f>IF(NOT(ISNUMBER(Q225)),"",IF(U225="W",IF(ISNUMBER(S225),S225-Q225,IF(ISNUMBER(P225),Q225*(P225-1),"")),IF(U225="L",-Q225,IF(U225="Push",0,""))))</f>
        <v/>
      </c>
      <c r="W225">
        <f>IF(NOT(ISNUMBER(R225)),"",IF(U225="W",IF(ISNUMBER(P225),R225*(P225-1),""),IF(U225="L",-R225,IF(U225="Push",0,""))))</f>
        <v/>
      </c>
      <c r="X225" t="inlineStr">
        <is>
          <t>graded from final</t>
        </is>
      </c>
      <c r="Y225" t="inlineStr">
        <is>
          <t>N</t>
        </is>
      </c>
      <c r="Z225" t="inlineStr">
        <is>
          <t>https://x.com/BookitWithTrent/status/2097005147926749338</t>
        </is>
      </c>
      <c r="AA225" t="inlineStr">
        <is>
          <t>Daytime card; "If you full faded entire card you're up fat" posted before the card finished</t>
        </is>
      </c>
      <c r="AB225" t="inlineStr">
        <is>
          <t>Single</t>
        </is>
      </c>
      <c r="AC225" s="5">
        <f>IF(ISNUMBER(V225),Q225,"")</f>
        <v/>
      </c>
      <c r="AD225">
        <f>IF(ISNUMBER(W225),R225,"")</f>
        <v/>
      </c>
    </row>
    <row r="226">
      <c r="A226" t="inlineStr">
        <is>
          <t>S-262107</t>
        </is>
      </c>
      <c r="B226" t="inlineStr">
        <is>
          <t>Steve</t>
        </is>
      </c>
      <c r="C226" s="2" t="n">
        <v>46272.53776620371</v>
      </c>
      <c r="D226">
        <f>IF(C226="","",TEXT(C226,"dddd"))</f>
        <v/>
      </c>
      <c r="E226" s="3" t="n">
        <v>46272</v>
      </c>
      <c r="F226">
        <f>IF(E226="","",TEXT(E226,"dddd"))</f>
        <v/>
      </c>
      <c r="G226" t="inlineStr">
        <is>
          <t>2:10 PM</t>
        </is>
      </c>
      <c r="H226" t="inlineStr">
        <is>
          <t>N</t>
        </is>
      </c>
      <c r="I226" t="inlineStr"/>
      <c r="J226" t="inlineStr">
        <is>
          <t>MLB</t>
        </is>
      </c>
      <c r="K226" t="inlineStr">
        <is>
          <t>MLB</t>
        </is>
      </c>
      <c r="L226" t="inlineStr">
        <is>
          <t>ML</t>
        </is>
      </c>
      <c r="M226" t="inlineStr">
        <is>
          <t>Chicago Cubs F5 1x2 vs Milwaukee Brewers</t>
        </is>
      </c>
      <c r="N226" t="n">
        <v>1</v>
      </c>
      <c r="O226" t="inlineStr">
        <is>
          <t>-112</t>
        </is>
      </c>
      <c r="P226" s="4" t="n">
        <v>1.8929</v>
      </c>
      <c r="Q226" s="5" t="n">
        <v>50365</v>
      </c>
      <c r="R226" t="inlineStr"/>
      <c r="S226" s="5" t="n">
        <v>95189.85000000001</v>
      </c>
      <c r="T226" t="inlineStr">
        <is>
          <t>Gamdom</t>
        </is>
      </c>
      <c r="U226" t="inlineStr">
        <is>
          <t>L</t>
        </is>
      </c>
      <c r="V226" s="5">
        <f>IF(NOT(ISNUMBER(Q226)),"",IF(U226="W",IF(ISNUMBER(S226),S226-Q226,IF(ISNUMBER(P226),Q226*(P226-1),"")),IF(U226="L",-Q226,IF(U226="Push",0,""))))</f>
        <v/>
      </c>
      <c r="W226">
        <f>IF(NOT(ISNUMBER(R226)),"",IF(U226="W",IF(ISNUMBER(P226),R226*(P226-1),""),IF(U226="L",-R226,IF(U226="Push",0,""))))</f>
        <v/>
      </c>
      <c r="X226" t="inlineStr">
        <is>
          <t>graded from final</t>
        </is>
      </c>
      <c r="Y226" t="inlineStr">
        <is>
          <t>Y - tags Gamdom</t>
        </is>
      </c>
      <c r="Z226" t="inlineStr">
        <is>
          <t>https://x.com/stevewilldoit/status/2097020672996262107</t>
        </is>
      </c>
      <c r="AA226" t="inlineStr">
        <is>
          <t>AI guy pick</t>
        </is>
      </c>
      <c r="AB226" t="inlineStr">
        <is>
          <t>Single</t>
        </is>
      </c>
      <c r="AC226" s="5">
        <f>IF(ISNUMBER(V226),Q226,"")</f>
        <v/>
      </c>
      <c r="AD226">
        <f>IF(ISNUMBER(W226),R226,"")</f>
        <v/>
      </c>
    </row>
    <row r="227">
      <c r="A227" t="inlineStr">
        <is>
          <t>T-785693</t>
        </is>
      </c>
      <c r="B227" t="inlineStr">
        <is>
          <t>Trent</t>
        </is>
      </c>
      <c r="C227" s="2" t="n">
        <v>46272.56409722222</v>
      </c>
      <c r="D227">
        <f>IF(C227="","",TEXT(C227,"dddd"))</f>
        <v/>
      </c>
      <c r="E227" s="3" t="n">
        <v>46272</v>
      </c>
      <c r="F227">
        <f>IF(E227="","",TEXT(E227,"dddd"))</f>
        <v/>
      </c>
      <c r="G227" t="inlineStr">
        <is>
          <t>not matched</t>
        </is>
      </c>
      <c r="H227" t="inlineStr">
        <is>
          <t>N</t>
        </is>
      </c>
      <c r="I227" t="inlineStr"/>
      <c r="J227" t="inlineStr">
        <is>
          <t>Other</t>
        </is>
      </c>
      <c r="K227" t="inlineStr">
        <is>
          <t>PLL Lacrosse</t>
        </is>
      </c>
      <c r="L227" t="inlineStr">
        <is>
          <t>ML</t>
        </is>
      </c>
      <c r="M227" t="inlineStr">
        <is>
          <t>Outlaws ML</t>
        </is>
      </c>
      <c r="N227" t="n">
        <v>1</v>
      </c>
      <c r="O227" t="inlineStr">
        <is>
          <t>not shown</t>
        </is>
      </c>
      <c r="P227" s="4" t="inlineStr"/>
      <c r="Q227" s="5" t="n">
        <v>1000</v>
      </c>
      <c r="R227" t="inlineStr"/>
      <c r="S227" s="5" t="inlineStr">
        <is>
          <t>not shown</t>
        </is>
      </c>
      <c r="T227" t="inlineStr">
        <is>
          <t>not shown</t>
        </is>
      </c>
      <c r="U227" t="inlineStr">
        <is>
          <t>W</t>
        </is>
      </c>
      <c r="V227" s="5">
        <f>IF(NOT(ISNUMBER(Q227)),"",IF(U227="W",IF(ISNUMBER(S227),S227-Q227,IF(ISNUMBER(P227),Q227*(P227-1),"")),IF(U227="L",-Q227,IF(U227="Push",0,""))))</f>
        <v/>
      </c>
      <c r="W227">
        <f>IF(NOT(ISNUMBER(R227)),"",IF(U227="W",IF(ISNUMBER(P227),R227*(P227-1),""),IF(U227="L",-R227,IF(U227="Push",0,""))))</f>
        <v/>
      </c>
      <c r="X227" t="inlineStr">
        <is>
          <t>posted</t>
        </is>
      </c>
      <c r="Y227" t="inlineStr">
        <is>
          <t>N</t>
        </is>
      </c>
      <c r="Z227" t="inlineStr">
        <is>
          <t>https://x.com/BookitWithTrent/status/2097030211820785693</t>
        </is>
      </c>
      <c r="AA227" t="inlineStr">
        <is>
          <t>"I put a rack on the Outlaws ML"; win stated later; Game date assumed = post date (CT)</t>
        </is>
      </c>
      <c r="AB227" t="inlineStr">
        <is>
          <t>Single</t>
        </is>
      </c>
      <c r="AC227" s="5">
        <f>IF(ISNUMBER(V227),Q227,"")</f>
        <v/>
      </c>
      <c r="AD227">
        <f>IF(ISNUMBER(W227),R227,"")</f>
        <v/>
      </c>
    </row>
    <row r="228">
      <c r="A228" t="inlineStr">
        <is>
          <t>T-379774</t>
        </is>
      </c>
      <c r="B228" t="inlineStr">
        <is>
          <t>Trent</t>
        </is>
      </c>
      <c r="C228" s="2" t="n">
        <v>46272.6766087963</v>
      </c>
      <c r="D228">
        <f>IF(C228="","",TEXT(C228,"dddd"))</f>
        <v/>
      </c>
      <c r="E228" s="3" t="n">
        <v>46272</v>
      </c>
      <c r="F228">
        <f>IF(E228="","",TEXT(E228,"dddd"))</f>
        <v/>
      </c>
      <c r="G228" t="inlineStr">
        <is>
          <t>7:30 PM</t>
        </is>
      </c>
      <c r="H228" t="inlineStr">
        <is>
          <t>Y</t>
        </is>
      </c>
      <c r="I228" t="inlineStr">
        <is>
          <t>CFB weeknight (Tue-Fri)</t>
        </is>
      </c>
      <c r="J228" t="inlineStr">
        <is>
          <t>CFB</t>
        </is>
      </c>
      <c r="K228" t="inlineStr">
        <is>
          <t>CFB</t>
        </is>
      </c>
      <c r="L228" t="inlineStr">
        <is>
          <t>spread</t>
        </is>
      </c>
      <c r="M228" t="inlineStr">
        <is>
          <t>Florida State +2.5 (Monday night)</t>
        </is>
      </c>
      <c r="N228" t="n">
        <v>1</v>
      </c>
      <c r="O228" t="inlineStr">
        <is>
          <t>not shown</t>
        </is>
      </c>
      <c r="P228" s="4" t="inlineStr"/>
      <c r="Q228" s="5" t="inlineStr"/>
      <c r="R228" t="n">
        <v>10</v>
      </c>
      <c r="S228" s="5" t="inlineStr"/>
      <c r="T228" t="inlineStr">
        <is>
          <t>not shown</t>
        </is>
      </c>
      <c r="U228" t="inlineStr">
        <is>
          <t>L</t>
        </is>
      </c>
      <c r="V228" s="5">
        <f>IF(NOT(ISNUMBER(Q228)),"",IF(U228="W",IF(ISNUMBER(S228),S228-Q228,IF(ISNUMBER(P228),Q228*(P228-1),"")),IF(U228="L",-Q228,IF(U228="Push",0,""))))</f>
        <v/>
      </c>
      <c r="W228">
        <f>IF(NOT(ISNUMBER(R228)),"",IF(U228="W",IF(ISNUMBER(P228),R228*(P228-1),""),IF(U228="L",-R228,IF(U228="Push",0,""))))</f>
        <v/>
      </c>
      <c r="X228" t="inlineStr">
        <is>
          <t>graded from final</t>
        </is>
      </c>
      <c r="Y228" t="inlineStr">
        <is>
          <t>N</t>
        </is>
      </c>
      <c r="Z228" t="inlineStr">
        <is>
          <t>https://x.com/BookitWithTrent/status/2097070985069379774</t>
        </is>
      </c>
      <c r="AA228" t="inlineStr">
        <is>
          <t>"CFB Monday Night Mortal Mega Max"</t>
        </is>
      </c>
      <c r="AB228" t="inlineStr">
        <is>
          <t>Single</t>
        </is>
      </c>
      <c r="AC228" s="5">
        <f>IF(ISNUMBER(V228),Q228,"")</f>
        <v/>
      </c>
      <c r="AD228">
        <f>IF(ISNUMBER(W228),R228,"")</f>
        <v/>
      </c>
    </row>
    <row r="229">
      <c r="A229" t="inlineStr">
        <is>
          <t>T-413567</t>
        </is>
      </c>
      <c r="B229" t="inlineStr">
        <is>
          <t>Trent</t>
        </is>
      </c>
      <c r="C229" s="2" t="n">
        <v>46272.71559027778</v>
      </c>
      <c r="D229">
        <f>IF(C229="","",TEXT(C229,"dddd"))</f>
        <v/>
      </c>
      <c r="E229" s="3" t="n">
        <v>46272</v>
      </c>
      <c r="F229">
        <f>IF(E229="","",TEXT(E229,"dddd"))</f>
        <v/>
      </c>
      <c r="G229" t="inlineStr">
        <is>
          <t>not matched</t>
        </is>
      </c>
      <c r="H229" t="inlineStr">
        <is>
          <t>Unknown</t>
        </is>
      </c>
      <c r="I229" t="inlineStr">
        <is>
          <t>kickoff not matched</t>
        </is>
      </c>
      <c r="J229" t="inlineStr">
        <is>
          <t>CFB</t>
        </is>
      </c>
      <c r="K229" t="inlineStr">
        <is>
          <t>CFB</t>
        </is>
      </c>
      <c r="L229" t="inlineStr">
        <is>
          <t>PrizePicks/DFS</t>
        </is>
      </c>
      <c r="M229" t="inlineStr">
        <is>
          <t>Ashton Daniels o30.5 rush yds; Duce Robinson o13.5 fantasy score; Kevin Jennings o34.5 pass attempts; Yannick Smith o30.5 rec yds</t>
        </is>
      </c>
      <c r="N229" t="n">
        <v>4</v>
      </c>
      <c r="O229" t="inlineStr">
        <is>
          <t>not shown</t>
        </is>
      </c>
      <c r="P229" s="4" t="n">
        <v>10</v>
      </c>
      <c r="Q229" s="5" t="n">
        <v>1000</v>
      </c>
      <c r="R229" t="inlineStr"/>
      <c r="S229" s="5" t="n">
        <v>10000</v>
      </c>
      <c r="T229" t="inlineStr">
        <is>
          <t>PrizePicks</t>
        </is>
      </c>
      <c r="U229" t="inlineStr">
        <is>
          <t>L</t>
        </is>
      </c>
      <c r="V229" s="5">
        <f>IF(NOT(ISNUMBER(Q229)),"",IF(U229="W",IF(ISNUMBER(S229),S229-Q229,IF(ISNUMBER(P229),Q229*(P229-1),"")),IF(U229="L",-Q229,IF(U229="Push",0,""))))</f>
        <v/>
      </c>
      <c r="W229">
        <f>IF(NOT(ISNUMBER(R229)),"",IF(U229="W",IF(ISNUMBER(P229),R229*(P229-1),""),IF(U229="L",-R229,IF(U229="Push",0,""))))</f>
        <v/>
      </c>
      <c r="X229" t="inlineStr">
        <is>
          <t>posted</t>
        </is>
      </c>
      <c r="Y229" t="inlineStr">
        <is>
          <t>N</t>
        </is>
      </c>
      <c r="Z229" t="inlineStr">
        <is>
          <t>https://x.com/BookitWithTrent/status/2097085114618413567</t>
        </is>
      </c>
      <c r="AA229" t="inlineStr">
        <is>
          <t>"The Scripture"; Robinson finished at 4.5 (495890); Game date assumed = post date (CT); Decimal odds derived from payout/stake</t>
        </is>
      </c>
      <c r="AB229" t="inlineStr">
        <is>
          <t>Parlay/multi-leg</t>
        </is>
      </c>
      <c r="AC229" s="5">
        <f>IF(ISNUMBER(V229),Q229,"")</f>
        <v/>
      </c>
      <c r="AD229">
        <f>IF(ISNUMBER(W229),R229,"")</f>
        <v/>
      </c>
    </row>
    <row r="230">
      <c r="A230" t="inlineStr">
        <is>
          <t>S-425517</t>
        </is>
      </c>
      <c r="B230" t="inlineStr">
        <is>
          <t>Steve</t>
        </is>
      </c>
      <c r="C230" s="2" t="n">
        <v>46272.75479166667</v>
      </c>
      <c r="D230">
        <f>IF(C230="","",TEXT(C230,"dddd"))</f>
        <v/>
      </c>
      <c r="E230" s="3" t="n">
        <v>46272</v>
      </c>
      <c r="F230">
        <f>IF(E230="","",TEXT(E230,"dddd"))</f>
        <v/>
      </c>
      <c r="G230" t="inlineStr">
        <is>
          <t>8:10 PM</t>
        </is>
      </c>
      <c r="H230" t="inlineStr">
        <is>
          <t>N</t>
        </is>
      </c>
      <c r="I230" t="inlineStr"/>
      <c r="J230" t="inlineStr">
        <is>
          <t>MLB</t>
        </is>
      </c>
      <c r="K230" t="inlineStr">
        <is>
          <t>MLB</t>
        </is>
      </c>
      <c r="L230" t="inlineStr">
        <is>
          <t>ML</t>
        </is>
      </c>
      <c r="M230" t="inlineStr">
        <is>
          <t>San Francisco Giants F5 1x2 vs St. Louis Cardinals</t>
        </is>
      </c>
      <c r="N230" t="n">
        <v>1</v>
      </c>
      <c r="O230" t="inlineStr">
        <is>
          <t>-147</t>
        </is>
      </c>
      <c r="P230" s="4" t="n">
        <v>1.6803</v>
      </c>
      <c r="Q230" s="5" t="n">
        <v>75000</v>
      </c>
      <c r="R230" t="inlineStr"/>
      <c r="S230" s="5" t="n">
        <v>126000</v>
      </c>
      <c r="T230" t="inlineStr">
        <is>
          <t>Gamdom</t>
        </is>
      </c>
      <c r="U230" t="inlineStr">
        <is>
          <t>W</t>
        </is>
      </c>
      <c r="V230" s="5">
        <f>IF(NOT(ISNUMBER(Q230)),"",IF(U230="W",IF(ISNUMBER(S230),S230-Q230,IF(ISNUMBER(P230),Q230*(P230-1),"")),IF(U230="L",-Q230,IF(U230="Push",0,""))))</f>
        <v/>
      </c>
      <c r="W230">
        <f>IF(NOT(ISNUMBER(R230)),"",IF(U230="W",IF(ISNUMBER(P230),R230*(P230-1),""),IF(U230="L",-R230,IF(U230="Push",0,""))))</f>
        <v/>
      </c>
      <c r="X230" t="inlineStr">
        <is>
          <t>graded from final</t>
        </is>
      </c>
      <c r="Y230" t="inlineStr">
        <is>
          <t>Y - tags Gamdom</t>
        </is>
      </c>
      <c r="Z230" t="inlineStr">
        <is>
          <t>https://x.com/stevewilldoit/status/2097099320172425517</t>
        </is>
      </c>
      <c r="AA230" t="inlineStr">
        <is>
          <t>AI guy pick</t>
        </is>
      </c>
      <c r="AB230" t="inlineStr">
        <is>
          <t>Single</t>
        </is>
      </c>
      <c r="AC230" s="5">
        <f>IF(ISNUMBER(V230),Q230,"")</f>
        <v/>
      </c>
      <c r="AD230">
        <f>IF(ISNUMBER(W230),R230,"")</f>
        <v/>
      </c>
    </row>
    <row r="231">
      <c r="A231" t="inlineStr">
        <is>
          <t>T-760601</t>
        </is>
      </c>
      <c r="B231" t="inlineStr">
        <is>
          <t>Trent</t>
        </is>
      </c>
      <c r="C231" s="2" t="n">
        <v>46273.46371527778</v>
      </c>
      <c r="D231">
        <f>IF(C231="","",TEXT(C231,"dddd"))</f>
        <v/>
      </c>
      <c r="E231" s="3" t="n">
        <v>46273</v>
      </c>
      <c r="F231">
        <f>IF(E231="","",TEXT(E231,"dddd"))</f>
        <v/>
      </c>
      <c r="G231" t="inlineStr">
        <is>
          <t>not matched</t>
        </is>
      </c>
      <c r="H231" t="inlineStr">
        <is>
          <t>N</t>
        </is>
      </c>
      <c r="I231" t="inlineStr"/>
      <c r="J231" t="inlineStr">
        <is>
          <t>MLB</t>
        </is>
      </c>
      <c r="K231" t="inlineStr">
        <is>
          <t>MLB</t>
        </is>
      </c>
      <c r="L231" t="inlineStr">
        <is>
          <t>futures</t>
        </is>
      </c>
      <c r="M231" t="inlineStr">
        <is>
          <t>MLB season-long PrizePicks "goat whale" (Trent's own legs not shown)</t>
        </is>
      </c>
      <c r="N231" t="n">
        <v>1</v>
      </c>
      <c r="O231" t="inlineStr">
        <is>
          <t>not shown</t>
        </is>
      </c>
      <c r="P231" s="4" t="inlineStr"/>
      <c r="Q231" s="5" t="inlineStr"/>
      <c r="R231" t="inlineStr"/>
      <c r="S231" s="5" t="inlineStr">
        <is>
          <t>not shown</t>
        </is>
      </c>
      <c r="T231" t="inlineStr">
        <is>
          <t>PrizePicks</t>
        </is>
      </c>
      <c r="U231" t="inlineStr">
        <is>
          <t>L</t>
        </is>
      </c>
      <c r="V231" s="5">
        <f>IF(NOT(ISNUMBER(Q231)),"",IF(U231="W",IF(ISNUMBER(S231),S231-Q231,IF(ISNUMBER(P231),Q231*(P231-1),"")),IF(U231="L",-Q231,IF(U231="Push",0,""))))</f>
        <v/>
      </c>
      <c r="W231">
        <f>IF(NOT(ISNUMBER(R231)),"",IF(U231="W",IF(ISNUMBER(P231),R231*(P231-1),""),IF(U231="L",-R231,IF(U231="Push",0,""))))</f>
        <v/>
      </c>
      <c r="X231" t="inlineStr">
        <is>
          <t>posted</t>
        </is>
      </c>
      <c r="Y231" t="inlineStr">
        <is>
          <t>N</t>
        </is>
      </c>
      <c r="Z231" t="inlineStr">
        <is>
          <t>https://x.com/BookitWithTrent/status/2097356222680760601</t>
        </is>
      </c>
      <c r="AA231" t="inlineStr">
        <is>
          <t>"My MLB goat whale legit never had a pulse"; the image is @jovan_deeb's slip; Game date assumed = post date (CT)</t>
        </is>
      </c>
      <c r="AB231" t="inlineStr">
        <is>
          <t>Single</t>
        </is>
      </c>
      <c r="AC231" s="5">
        <f>IF(ISNUMBER(V231),Q231,"")</f>
        <v/>
      </c>
      <c r="AD231">
        <f>IF(ISNUMBER(W231),R231,"")</f>
        <v/>
      </c>
    </row>
    <row r="232">
      <c r="A232" t="inlineStr">
        <is>
          <t>T-331113</t>
        </is>
      </c>
      <c r="B232" t="inlineStr">
        <is>
          <t>Trent</t>
        </is>
      </c>
      <c r="C232" s="2" t="n">
        <v>46273.53244212963</v>
      </c>
      <c r="D232">
        <f>IF(C232="","",TEXT(C232,"dddd"))</f>
        <v/>
      </c>
      <c r="E232" s="3" t="n">
        <v>46273</v>
      </c>
      <c r="F232">
        <f>IF(E232="","",TEXT(E232,"dddd"))</f>
        <v/>
      </c>
      <c r="G232" t="inlineStr">
        <is>
          <t>10:10 PM</t>
        </is>
      </c>
      <c r="H232" t="inlineStr">
        <is>
          <t>N</t>
        </is>
      </c>
      <c r="I232" t="inlineStr"/>
      <c r="J232" t="inlineStr">
        <is>
          <t>MLB</t>
        </is>
      </c>
      <c r="K232" t="inlineStr">
        <is>
          <t>MLB</t>
        </is>
      </c>
      <c r="L232" t="inlineStr">
        <is>
          <t>parlay</t>
        </is>
      </c>
      <c r="M232" t="inlineStr">
        <is>
          <t>Yankees ML -340; Brewers ML -230; Dodgers ML -350; Carlos Alcaraz ML -410 (US Open)</t>
        </is>
      </c>
      <c r="N232" t="n">
        <v>4</v>
      </c>
      <c r="O232" t="inlineStr">
        <is>
          <t>+200</t>
        </is>
      </c>
      <c r="P232" s="4" t="n">
        <v>3</v>
      </c>
      <c r="Q232" s="5" t="n">
        <v>2000</v>
      </c>
      <c r="R232" t="inlineStr"/>
      <c r="S232" s="5" t="n">
        <v>4000</v>
      </c>
      <c r="T232" t="inlineStr">
        <is>
          <t>not shown</t>
        </is>
      </c>
      <c r="U232" t="inlineStr">
        <is>
          <t>L</t>
        </is>
      </c>
      <c r="V232" s="5">
        <f>IF(NOT(ISNUMBER(Q232)),"",IF(U232="W",IF(ISNUMBER(S232),S232-Q232,IF(ISNUMBER(P232),Q232*(P232-1),"")),IF(U232="L",-Q232,IF(U232="Push",0,""))))</f>
        <v/>
      </c>
      <c r="W232">
        <f>IF(NOT(ISNUMBER(R232)),"",IF(U232="W",IF(ISNUMBER(P232),R232*(P232-1),""),IF(U232="L",-R232,IF(U232="Push",0,""))))</f>
        <v/>
      </c>
      <c r="X232" t="inlineStr">
        <is>
          <t>graded from final</t>
        </is>
      </c>
      <c r="Y232" t="inlineStr">
        <is>
          <t>N</t>
        </is>
      </c>
      <c r="Z232" t="inlineStr">
        <is>
          <t>https://x.com/BookitWithTrent/status/2097381128080331113</t>
        </is>
      </c>
      <c r="AA232" t="inlineStr">
        <is>
          <t>"$2,000 pays $6,000"; Alcaraz lost US Open QF to Shelton</t>
        </is>
      </c>
      <c r="AB232" t="inlineStr">
        <is>
          <t>Parlay/multi-leg</t>
        </is>
      </c>
      <c r="AC232" s="5">
        <f>IF(ISNUMBER(V232),Q232,"")</f>
        <v/>
      </c>
      <c r="AD232">
        <f>IF(ISNUMBER(W232),R232,"")</f>
        <v/>
      </c>
    </row>
    <row r="233">
      <c r="A233" t="inlineStr">
        <is>
          <t>T-006680</t>
        </is>
      </c>
      <c r="B233" t="inlineStr">
        <is>
          <t>Trent</t>
        </is>
      </c>
      <c r="C233" s="2" t="n">
        <v>46273.67097222222</v>
      </c>
      <c r="D233">
        <f>IF(C233="","",TEXT(C233,"dddd"))</f>
        <v/>
      </c>
      <c r="E233" s="3" t="n">
        <v>46273</v>
      </c>
      <c r="F233">
        <f>IF(E233="","",TEXT(E233,"dddd"))</f>
        <v/>
      </c>
      <c r="G233" t="inlineStr">
        <is>
          <t>not matched</t>
        </is>
      </c>
      <c r="H233" t="inlineStr">
        <is>
          <t>N</t>
        </is>
      </c>
      <c r="I233" t="inlineStr"/>
      <c r="J233" t="inlineStr">
        <is>
          <t>MLB</t>
        </is>
      </c>
      <c r="K233" t="inlineStr">
        <is>
          <t>MLB</t>
        </is>
      </c>
      <c r="L233" t="inlineStr">
        <is>
          <t>PrizePicks/DFS</t>
        </is>
      </c>
      <c r="M233" t="inlineStr">
        <is>
          <t>Jose Ramirez o6.5 HFS; Cam Schlittler o42.5 PFS; Fernando Tatis Jr. o7.5 HFS; Tarik Skubal o8.5 K</t>
        </is>
      </c>
      <c r="N233" t="n">
        <v>4</v>
      </c>
      <c r="O233" t="inlineStr">
        <is>
          <t>not shown</t>
        </is>
      </c>
      <c r="P233" s="4" t="n">
        <v>10</v>
      </c>
      <c r="Q233" s="5" t="n">
        <v>1000</v>
      </c>
      <c r="R233" t="inlineStr"/>
      <c r="S233" s="5" t="n">
        <v>10000</v>
      </c>
      <c r="T233" t="inlineStr">
        <is>
          <t>PrizePicks</t>
        </is>
      </c>
      <c r="U233" t="inlineStr">
        <is>
          <t>L</t>
        </is>
      </c>
      <c r="V233" s="5">
        <f>IF(NOT(ISNUMBER(Q233)),"",IF(U233="W",IF(ISNUMBER(S233),S233-Q233,IF(ISNUMBER(P233),Q233*(P233-1),"")),IF(U233="L",-Q233,IF(U233="Push",0,""))))</f>
        <v/>
      </c>
      <c r="W233">
        <f>IF(NOT(ISNUMBER(R233)),"",IF(U233="W",IF(ISNUMBER(P233),R233*(P233-1),""),IF(U233="L",-R233,IF(U233="Push",0,""))))</f>
        <v/>
      </c>
      <c r="X233" t="inlineStr">
        <is>
          <t>posted</t>
        </is>
      </c>
      <c r="Y233" t="inlineStr">
        <is>
          <t>N</t>
        </is>
      </c>
      <c r="Z233" t="inlineStr">
        <is>
          <t>https://x.com/BookitWithTrent/status/2097431333052006680</t>
        </is>
      </c>
      <c r="AA233" t="inlineStr">
        <is>
          <t>"I literally hate Jose Ramirez... Useless player"; "no way I just woke up to no coin"; Game date assumed = post date (CT); Decimal odds derived from payout/stake</t>
        </is>
      </c>
      <c r="AB233" t="inlineStr">
        <is>
          <t>Parlay/multi-leg</t>
        </is>
      </c>
      <c r="AC233" s="5">
        <f>IF(ISNUMBER(V233),Q233,"")</f>
        <v/>
      </c>
      <c r="AD233">
        <f>IF(ISNUMBER(W233),R233,"")</f>
        <v/>
      </c>
    </row>
    <row r="234">
      <c r="A234" t="inlineStr">
        <is>
          <t>S-201467</t>
        </is>
      </c>
      <c r="B234" t="inlineStr">
        <is>
          <t>Steve</t>
        </is>
      </c>
      <c r="C234" s="2" t="n">
        <v>46273.68640046296</v>
      </c>
      <c r="D234">
        <f>IF(C234="","",TEXT(C234,"dddd"))</f>
        <v/>
      </c>
      <c r="E234" s="3" t="n">
        <v>46273</v>
      </c>
      <c r="F234">
        <f>IF(E234="","",TEXT(E234,"dddd"))</f>
        <v/>
      </c>
      <c r="G234" t="inlineStr">
        <is>
          <t>7:40 PM</t>
        </is>
      </c>
      <c r="H234" t="inlineStr">
        <is>
          <t>N</t>
        </is>
      </c>
      <c r="I234" t="inlineStr"/>
      <c r="J234" t="inlineStr">
        <is>
          <t>MLB</t>
        </is>
      </c>
      <c r="K234" t="inlineStr">
        <is>
          <t>MLB</t>
        </is>
      </c>
      <c r="L234" t="inlineStr">
        <is>
          <t>spread</t>
        </is>
      </c>
      <c r="M234" t="inlineStr">
        <is>
          <t>Pittsburgh Pirates F5 +0.5 vs Chicago White Sox</t>
        </is>
      </c>
      <c r="N234" t="n">
        <v>1</v>
      </c>
      <c r="O234" t="inlineStr">
        <is>
          <t>+122</t>
        </is>
      </c>
      <c r="P234" s="4" t="n">
        <v>2.22</v>
      </c>
      <c r="Q234" s="5" t="n">
        <v>60000</v>
      </c>
      <c r="R234" t="inlineStr"/>
      <c r="S234" s="5" t="n">
        <v>109200</v>
      </c>
      <c r="T234" t="inlineStr">
        <is>
          <t>Gamdom</t>
        </is>
      </c>
      <c r="U234" t="inlineStr">
        <is>
          <t>W</t>
        </is>
      </c>
      <c r="V234" s="5">
        <f>IF(NOT(ISNUMBER(Q234)),"",IF(U234="W",IF(ISNUMBER(S234),S234-Q234,IF(ISNUMBER(P234),Q234*(P234-1),"")),IF(U234="L",-Q234,IF(U234="Push",0,""))))</f>
        <v/>
      </c>
      <c r="W234">
        <f>IF(NOT(ISNUMBER(R234)),"",IF(U234="W",IF(ISNUMBER(P234),R234*(P234-1),""),IF(U234="L",-R234,IF(U234="Push",0,""))))</f>
        <v/>
      </c>
      <c r="X234" t="inlineStr">
        <is>
          <t>graded from final</t>
        </is>
      </c>
      <c r="Y234" t="inlineStr">
        <is>
          <t>Y - tags Gamdom</t>
        </is>
      </c>
      <c r="Z234" t="inlineStr">
        <is>
          <t>https://x.com/stevewilldoit/status/2097436920582201467</t>
        </is>
      </c>
      <c r="AA234" t="inlineStr">
        <is>
          <t>AI guy "PIT F5 +.5 -115"</t>
        </is>
      </c>
      <c r="AB234" t="inlineStr">
        <is>
          <t>Single</t>
        </is>
      </c>
      <c r="AC234" s="5">
        <f>IF(ISNUMBER(V234),Q234,"")</f>
        <v/>
      </c>
      <c r="AD234">
        <f>IF(ISNUMBER(W234),R234,"")</f>
        <v/>
      </c>
    </row>
    <row r="235">
      <c r="A235" t="inlineStr">
        <is>
          <t>S-201467b</t>
        </is>
      </c>
      <c r="B235" t="inlineStr">
        <is>
          <t>Steve</t>
        </is>
      </c>
      <c r="C235" s="2" t="n">
        <v>46273.68640046296</v>
      </c>
      <c r="D235">
        <f>IF(C235="","",TEXT(C235,"dddd"))</f>
        <v/>
      </c>
      <c r="E235" s="3" t="n">
        <v>46273</v>
      </c>
      <c r="F235">
        <f>IF(E235="","",TEXT(E235,"dddd"))</f>
        <v/>
      </c>
      <c r="G235" t="inlineStr">
        <is>
          <t>6:40 PM</t>
        </is>
      </c>
      <c r="H235" t="inlineStr">
        <is>
          <t>N</t>
        </is>
      </c>
      <c r="I235" t="inlineStr"/>
      <c r="J235" t="inlineStr">
        <is>
          <t>MLB</t>
        </is>
      </c>
      <c r="K235" t="inlineStr">
        <is>
          <t>MLB</t>
        </is>
      </c>
      <c r="L235" t="inlineStr">
        <is>
          <t>total</t>
        </is>
      </c>
      <c r="M235" t="inlineStr">
        <is>
          <t>Marlins vs Mets F5 Under 5</t>
        </is>
      </c>
      <c r="N235" t="n">
        <v>1</v>
      </c>
      <c r="O235" t="inlineStr">
        <is>
          <t>-175</t>
        </is>
      </c>
      <c r="P235" s="4" t="n">
        <v>1.5714</v>
      </c>
      <c r="Q235" s="5" t="n">
        <v>60000</v>
      </c>
      <c r="R235" t="inlineStr"/>
      <c r="S235" s="5" t="n">
        <v>94200</v>
      </c>
      <c r="T235" t="inlineStr">
        <is>
          <t>Gamdom</t>
        </is>
      </c>
      <c r="U235" t="inlineStr">
        <is>
          <t>L</t>
        </is>
      </c>
      <c r="V235" s="5">
        <f>IF(NOT(ISNUMBER(Q235)),"",IF(U235="W",IF(ISNUMBER(S235),S235-Q235,IF(ISNUMBER(P235),Q235*(P235-1),"")),IF(U235="L",-Q235,IF(U235="Push",0,""))))</f>
        <v/>
      </c>
      <c r="W235">
        <f>IF(NOT(ISNUMBER(R235)),"",IF(U235="W",IF(ISNUMBER(P235),R235*(P235-1),""),IF(U235="L",-R235,IF(U235="Push",0,""))))</f>
        <v/>
      </c>
      <c r="X235" t="inlineStr">
        <is>
          <t>graded from final</t>
        </is>
      </c>
      <c r="Y235" t="inlineStr">
        <is>
          <t>Y - tags Gamdom</t>
        </is>
      </c>
      <c r="Z235" t="inlineStr">
        <is>
          <t>https://x.com/stevewilldoit/status/2097436920582201467</t>
        </is>
      </c>
      <c r="AA235" t="inlineStr">
        <is>
          <t>AI guy "NYM-MIA F5 U4.5"; slip shows Under 5</t>
        </is>
      </c>
      <c r="AB235" t="inlineStr">
        <is>
          <t>Single</t>
        </is>
      </c>
      <c r="AC235" s="5">
        <f>IF(ISNUMBER(V235),Q235,"")</f>
        <v/>
      </c>
      <c r="AD235">
        <f>IF(ISNUMBER(W235),R235,"")</f>
        <v/>
      </c>
    </row>
    <row r="236">
      <c r="A236" t="inlineStr">
        <is>
          <t>S-201467c</t>
        </is>
      </c>
      <c r="B236" t="inlineStr">
        <is>
          <t>Steve</t>
        </is>
      </c>
      <c r="C236" s="2" t="n">
        <v>46273.68640046296</v>
      </c>
      <c r="D236">
        <f>IF(C236="","",TEXT(C236,"dddd"))</f>
        <v/>
      </c>
      <c r="E236" s="3" t="n">
        <v>46273</v>
      </c>
      <c r="F236">
        <f>IF(E236="","",TEXT(E236,"dddd"))</f>
        <v/>
      </c>
      <c r="G236" t="inlineStr">
        <is>
          <t>6:40 PM</t>
        </is>
      </c>
      <c r="H236" t="inlineStr">
        <is>
          <t>N</t>
        </is>
      </c>
      <c r="I236" t="inlineStr"/>
      <c r="J236" t="inlineStr">
        <is>
          <t>MLB</t>
        </is>
      </c>
      <c r="K236" t="inlineStr">
        <is>
          <t>MLB</t>
        </is>
      </c>
      <c r="L236" t="inlineStr">
        <is>
          <t>ML</t>
        </is>
      </c>
      <c r="M236" t="inlineStr">
        <is>
          <t>Miami Marlins F5 1x2 vs NY Mets</t>
        </is>
      </c>
      <c r="N236" t="n">
        <v>1</v>
      </c>
      <c r="O236" t="inlineStr">
        <is>
          <t>-125</t>
        </is>
      </c>
      <c r="P236" s="4" t="n">
        <v>1.8</v>
      </c>
      <c r="Q236" s="5" t="n">
        <v>60000</v>
      </c>
      <c r="R236" t="inlineStr"/>
      <c r="S236" s="5" t="n">
        <v>108000</v>
      </c>
      <c r="T236" t="inlineStr">
        <is>
          <t>Gamdom</t>
        </is>
      </c>
      <c r="U236" t="inlineStr">
        <is>
          <t>L</t>
        </is>
      </c>
      <c r="V236" s="5">
        <f>IF(NOT(ISNUMBER(Q236)),"",IF(U236="W",IF(ISNUMBER(S236),S236-Q236,IF(ISNUMBER(P236),Q236*(P236-1),"")),IF(U236="L",-Q236,IF(U236="Push",0,""))))</f>
        <v/>
      </c>
      <c r="W236">
        <f>IF(NOT(ISNUMBER(R236)),"",IF(U236="W",IF(ISNUMBER(P236),R236*(P236-1),""),IF(U236="L",-R236,IF(U236="Push",0,""))))</f>
        <v/>
      </c>
      <c r="X236" t="inlineStr">
        <is>
          <t>graded from final</t>
        </is>
      </c>
      <c r="Y236" t="inlineStr">
        <is>
          <t>Y - tags Gamdom</t>
        </is>
      </c>
      <c r="Z236" t="inlineStr">
        <is>
          <t>https://x.com/stevewilldoit/status/2097436920582201467</t>
        </is>
      </c>
      <c r="AA236" t="inlineStr">
        <is>
          <t>AI guy "MIA F5 ML -126"</t>
        </is>
      </c>
      <c r="AB236" t="inlineStr">
        <is>
          <t>Single</t>
        </is>
      </c>
      <c r="AC236" s="5">
        <f>IF(ISNUMBER(V236),Q236,"")</f>
        <v/>
      </c>
      <c r="AD236">
        <f>IF(ISNUMBER(W236),R236,"")</f>
        <v/>
      </c>
    </row>
    <row r="237">
      <c r="A237" t="inlineStr">
        <is>
          <t>S-118315</t>
        </is>
      </c>
      <c r="B237" t="inlineStr">
        <is>
          <t>Steve</t>
        </is>
      </c>
      <c r="C237" s="2" t="n">
        <v>46273.88099537037</v>
      </c>
      <c r="D237">
        <f>IF(C237="","",TEXT(C237,"dddd"))</f>
        <v/>
      </c>
      <c r="E237" s="3" t="n">
        <v>46273</v>
      </c>
      <c r="F237">
        <f>IF(E237="","",TEXT(E237,"dddd"))</f>
        <v/>
      </c>
      <c r="G237" t="inlineStr">
        <is>
          <t>9:45 PM</t>
        </is>
      </c>
      <c r="H237" t="inlineStr">
        <is>
          <t>N</t>
        </is>
      </c>
      <c r="I237" t="inlineStr"/>
      <c r="J237" t="inlineStr">
        <is>
          <t>MLB</t>
        </is>
      </c>
      <c r="K237" t="inlineStr">
        <is>
          <t>MLB</t>
        </is>
      </c>
      <c r="L237" t="inlineStr">
        <is>
          <t>total</t>
        </is>
      </c>
      <c r="M237" t="inlineStr">
        <is>
          <t>Giants vs Cardinals Under 7.5 (live)</t>
        </is>
      </c>
      <c r="N237" t="n">
        <v>1</v>
      </c>
      <c r="O237" t="inlineStr">
        <is>
          <t>-118</t>
        </is>
      </c>
      <c r="P237" s="4" t="n">
        <v>1.8475</v>
      </c>
      <c r="Q237" s="5" t="n">
        <v>50000</v>
      </c>
      <c r="R237" t="inlineStr"/>
      <c r="S237" s="5" t="n">
        <v>92500</v>
      </c>
      <c r="T237" t="inlineStr">
        <is>
          <t>Gamdom</t>
        </is>
      </c>
      <c r="U237" t="inlineStr">
        <is>
          <t>W</t>
        </is>
      </c>
      <c r="V237" s="5">
        <f>IF(NOT(ISNUMBER(Q237)),"",IF(U237="W",IF(ISNUMBER(S237),S237-Q237,IF(ISNUMBER(P237),Q237*(P237-1),"")),IF(U237="L",-Q237,IF(U237="Push",0,""))))</f>
        <v/>
      </c>
      <c r="W237">
        <f>IF(NOT(ISNUMBER(R237)),"",IF(U237="W",IF(ISNUMBER(P237),R237*(P237-1),""),IF(U237="L",-R237,IF(U237="Push",0,""))))</f>
        <v/>
      </c>
      <c r="X237" t="inlineStr">
        <is>
          <t>graded from final</t>
        </is>
      </c>
      <c r="Y237" t="inlineStr">
        <is>
          <t>Y - tags Gamdom</t>
        </is>
      </c>
      <c r="Z237" t="inlineStr">
        <is>
          <t>https://x.com/stevewilldoit/status/2097507439994118315</t>
        </is>
      </c>
      <c r="AA237" t="inlineStr">
        <is>
          <t>"Live bet ai guy"</t>
        </is>
      </c>
      <c r="AB237" t="inlineStr">
        <is>
          <t>Single</t>
        </is>
      </c>
      <c r="AC237" s="5">
        <f>IF(ISNUMBER(V237),Q237,"")</f>
        <v/>
      </c>
      <c r="AD237">
        <f>IF(ISNUMBER(W237),R237,"")</f>
        <v/>
      </c>
    </row>
    <row r="238">
      <c r="A238" t="inlineStr">
        <is>
          <t>S-610033</t>
        </is>
      </c>
      <c r="B238" t="inlineStr">
        <is>
          <t>Steve</t>
        </is>
      </c>
      <c r="C238" s="2" t="n">
        <v>46273.89484953704</v>
      </c>
      <c r="D238">
        <f>IF(C238="","",TEXT(C238,"dddd"))</f>
        <v/>
      </c>
      <c r="E238" s="3" t="n">
        <v>46273</v>
      </c>
      <c r="F238">
        <f>IF(E238="","",TEXT(E238,"dddd"))</f>
        <v/>
      </c>
      <c r="G238" t="inlineStr">
        <is>
          <t>9:40 PM</t>
        </is>
      </c>
      <c r="H238" t="inlineStr">
        <is>
          <t>N</t>
        </is>
      </c>
      <c r="I238" t="inlineStr"/>
      <c r="J238" t="inlineStr">
        <is>
          <t>MLB</t>
        </is>
      </c>
      <c r="K238" t="inlineStr">
        <is>
          <t>MLB</t>
        </is>
      </c>
      <c r="L238" t="inlineStr">
        <is>
          <t>ML</t>
        </is>
      </c>
      <c r="M238" t="inlineStr">
        <is>
          <t>San Diego Padres ML vs Washington Nationals (live)</t>
        </is>
      </c>
      <c r="N238" t="n">
        <v>1</v>
      </c>
      <c r="O238" t="inlineStr">
        <is>
          <t>-125</t>
        </is>
      </c>
      <c r="P238" s="4" t="n">
        <v>1.8</v>
      </c>
      <c r="Q238" s="5" t="n">
        <v>50000</v>
      </c>
      <c r="R238" t="inlineStr"/>
      <c r="S238" s="5" t="n">
        <v>90000</v>
      </c>
      <c r="T238" t="inlineStr">
        <is>
          <t>Gamdom</t>
        </is>
      </c>
      <c r="U238" t="inlineStr">
        <is>
          <t>W</t>
        </is>
      </c>
      <c r="V238" s="5">
        <f>IF(NOT(ISNUMBER(Q238)),"",IF(U238="W",IF(ISNUMBER(S238),S238-Q238,IF(ISNUMBER(P238),Q238*(P238-1),"")),IF(U238="L",-Q238,IF(U238="Push",0,""))))</f>
        <v/>
      </c>
      <c r="W238">
        <f>IF(NOT(ISNUMBER(R238)),"",IF(U238="W",IF(ISNUMBER(P238),R238*(P238-1),""),IF(U238="L",-R238,IF(U238="Push",0,""))))</f>
        <v/>
      </c>
      <c r="X238" t="inlineStr">
        <is>
          <t>graded from final</t>
        </is>
      </c>
      <c r="Y238" t="inlineStr">
        <is>
          <t>N</t>
        </is>
      </c>
      <c r="Z238" t="inlineStr">
        <is>
          <t>https://x.com/stevewilldoit/status/2097512462899610033</t>
        </is>
      </c>
      <c r="AA238" t="inlineStr">
        <is>
          <t>"Never been told to bet live like this by ai guy"</t>
        </is>
      </c>
      <c r="AB238" t="inlineStr">
        <is>
          <t>Single</t>
        </is>
      </c>
      <c r="AC238" s="5">
        <f>IF(ISNUMBER(V238),Q238,"")</f>
        <v/>
      </c>
      <c r="AD238">
        <f>IF(ISNUMBER(W238),R238,"")</f>
        <v/>
      </c>
    </row>
    <row r="239">
      <c r="A239" t="inlineStr">
        <is>
          <t>S-396320</t>
        </is>
      </c>
      <c r="B239" t="inlineStr">
        <is>
          <t>Steve</t>
        </is>
      </c>
      <c r="C239" s="2" t="n">
        <v>46274.56032407407</v>
      </c>
      <c r="D239">
        <f>IF(C239="","",TEXT(C239,"dddd"))</f>
        <v/>
      </c>
      <c r="E239" s="3" t="n">
        <v>46274</v>
      </c>
      <c r="F239">
        <f>IF(E239="","",TEXT(E239,"dddd"))</f>
        <v/>
      </c>
      <c r="G239" t="inlineStr">
        <is>
          <t>8:20 PM</t>
        </is>
      </c>
      <c r="H239" t="inlineStr">
        <is>
          <t>Y</t>
        </is>
      </c>
      <c r="I239" t="inlineStr">
        <is>
          <t>NFL primetime (other day)</t>
        </is>
      </c>
      <c r="J239" t="inlineStr">
        <is>
          <t>NFL</t>
        </is>
      </c>
      <c r="K239" t="inlineStr">
        <is>
          <t>NFL</t>
        </is>
      </c>
      <c r="L239" t="inlineStr">
        <is>
          <t>spread</t>
        </is>
      </c>
      <c r="M239" t="inlineStr">
        <is>
          <t>New England Patriots +3.5 vs Seattle Seahawks</t>
        </is>
      </c>
      <c r="N239" t="n">
        <v>1</v>
      </c>
      <c r="O239" t="inlineStr">
        <is>
          <t>-110</t>
        </is>
      </c>
      <c r="P239" s="4" t="n">
        <v>1.9091</v>
      </c>
      <c r="Q239" s="5" t="n">
        <v>100000</v>
      </c>
      <c r="R239" t="inlineStr"/>
      <c r="S239" s="5" t="n">
        <v>191000</v>
      </c>
      <c r="T239" t="inlineStr">
        <is>
          <t>Gamdom</t>
        </is>
      </c>
      <c r="U239" t="inlineStr">
        <is>
          <t>W</t>
        </is>
      </c>
      <c r="V239" s="5">
        <f>IF(NOT(ISNUMBER(Q239)),"",IF(U239="W",IF(ISNUMBER(S239),S239-Q239,IF(ISNUMBER(P239),Q239*(P239-1),"")),IF(U239="L",-Q239,IF(U239="Push",0,""))))</f>
        <v/>
      </c>
      <c r="W239">
        <f>IF(NOT(ISNUMBER(R239)),"",IF(U239="W",IF(ISNUMBER(P239),R239*(P239-1),""),IF(U239="L",-R239,IF(U239="Push",0,""))))</f>
        <v/>
      </c>
      <c r="X239" t="inlineStr">
        <is>
          <t>graded from final</t>
        </is>
      </c>
      <c r="Y239" t="inlineStr">
        <is>
          <t>Y - tags Gamdom</t>
        </is>
      </c>
      <c r="Z239" t="inlineStr">
        <is>
          <t>https://x.com/stevewilldoit/status/2097753620091396320</t>
        </is>
      </c>
      <c r="AA239" t="inlineStr">
        <is>
          <t>AI guy pick; "Not that confident"</t>
        </is>
      </c>
      <c r="AB239" t="inlineStr">
        <is>
          <t>Single</t>
        </is>
      </c>
      <c r="AC239" s="5">
        <f>IF(ISNUMBER(V239),Q239,"")</f>
        <v/>
      </c>
      <c r="AD239">
        <f>IF(ISNUMBER(W239),R239,"")</f>
        <v/>
      </c>
    </row>
    <row r="240">
      <c r="A240" t="inlineStr">
        <is>
          <t>T-477055</t>
        </is>
      </c>
      <c r="B240" t="inlineStr">
        <is>
          <t>Trent</t>
        </is>
      </c>
      <c r="C240" s="2" t="n">
        <v>46274.61612268518</v>
      </c>
      <c r="D240">
        <f>IF(C240="","",TEXT(C240,"dddd"))</f>
        <v/>
      </c>
      <c r="E240" s="3" t="n">
        <v>46274</v>
      </c>
      <c r="F240">
        <f>IF(E240="","",TEXT(E240,"dddd"))</f>
        <v/>
      </c>
      <c r="G240" t="inlineStr">
        <is>
          <t>8:20 PM</t>
        </is>
      </c>
      <c r="H240" t="inlineStr">
        <is>
          <t>Y</t>
        </is>
      </c>
      <c r="I240" t="inlineStr">
        <is>
          <t>NFL primetime (other day)</t>
        </is>
      </c>
      <c r="J240" t="inlineStr">
        <is>
          <t>NFL</t>
        </is>
      </c>
      <c r="K240" t="inlineStr">
        <is>
          <t>NFL</t>
        </is>
      </c>
      <c r="L240" t="inlineStr">
        <is>
          <t>spread</t>
        </is>
      </c>
      <c r="M240" t="inlineStr">
        <is>
          <t>New England Patriots +3.5 vs Seattle</t>
        </is>
      </c>
      <c r="N240" t="n">
        <v>1</v>
      </c>
      <c r="O240" t="inlineStr">
        <is>
          <t>-127</t>
        </is>
      </c>
      <c r="P240" s="4" t="n">
        <v>1.7874</v>
      </c>
      <c r="Q240" s="5" t="n">
        <v>1960</v>
      </c>
      <c r="R240" t="n">
        <v>4</v>
      </c>
      <c r="S240" s="5" t="n">
        <v>3500</v>
      </c>
      <c r="T240" t="inlineStr">
        <is>
          <t>PrizePicks</t>
        </is>
      </c>
      <c r="U240" t="inlineStr">
        <is>
          <t>W</t>
        </is>
      </c>
      <c r="V240" s="5">
        <f>IF(NOT(ISNUMBER(Q240)),"",IF(U240="W",IF(ISNUMBER(S240),S240-Q240,IF(ISNUMBER(P240),Q240*(P240-1),"")),IF(U240="L",-Q240,IF(U240="Push",0,""))))</f>
        <v/>
      </c>
      <c r="W240">
        <f>IF(NOT(ISNUMBER(R240)),"",IF(U240="W",IF(ISNUMBER(P240),R240*(P240-1),""),IF(U240="L",-R240,IF(U240="Push",0,""))))</f>
        <v/>
      </c>
      <c r="X240" t="inlineStr">
        <is>
          <t>posted</t>
        </is>
      </c>
      <c r="Y240" t="inlineStr">
        <is>
          <t>N</t>
        </is>
      </c>
      <c r="Z240" t="inlineStr">
        <is>
          <t>https://x.com/BookitWithTrent/status/2097773842806477055</t>
        </is>
      </c>
      <c r="AA240" t="inlineStr">
        <is>
          <t>"Wednesday Night Football Mortal Mega Max" 4U; slip "$1,960 paid $3,500" (Win)</t>
        </is>
      </c>
      <c r="AB240" t="inlineStr">
        <is>
          <t>Single</t>
        </is>
      </c>
      <c r="AC240" s="5">
        <f>IF(ISNUMBER(V240),Q240,"")</f>
        <v/>
      </c>
      <c r="AD240">
        <f>IF(ISNUMBER(W240),R240,"")</f>
        <v/>
      </c>
    </row>
    <row r="241">
      <c r="A241" t="inlineStr">
        <is>
          <t>T-007286</t>
        </is>
      </c>
      <c r="B241" t="inlineStr">
        <is>
          <t>Trent</t>
        </is>
      </c>
      <c r="C241" s="2" t="n">
        <v>46274.62149305556</v>
      </c>
      <c r="D241">
        <f>IF(C241="","",TEXT(C241,"dddd"))</f>
        <v/>
      </c>
      <c r="E241" s="3" t="n">
        <v>46274</v>
      </c>
      <c r="F241">
        <f>IF(E241="","",TEXT(E241,"dddd"))</f>
        <v/>
      </c>
      <c r="G241" t="inlineStr">
        <is>
          <t>8:20 PM</t>
        </is>
      </c>
      <c r="H241" t="inlineStr">
        <is>
          <t>Y</t>
        </is>
      </c>
      <c r="I241" t="inlineStr">
        <is>
          <t>NFL primetime (other day)</t>
        </is>
      </c>
      <c r="J241" t="inlineStr">
        <is>
          <t>NFL</t>
        </is>
      </c>
      <c r="K241" t="inlineStr">
        <is>
          <t>NFL</t>
        </is>
      </c>
      <c r="L241" t="inlineStr">
        <is>
          <t>PrizePicks/DFS</t>
        </is>
      </c>
      <c r="M241" t="inlineStr">
        <is>
          <t>Drake Maye o25.5 rush yds; A.J. Brown o8 rec targets; Jadarian Price o13 rush attempts; Jason Myers o8.5 fantasy score</t>
        </is>
      </c>
      <c r="N241" t="n">
        <v>4</v>
      </c>
      <c r="O241" t="inlineStr">
        <is>
          <t>not shown</t>
        </is>
      </c>
      <c r="P241" s="4" t="n">
        <v>10</v>
      </c>
      <c r="Q241" s="5" t="n">
        <v>1000</v>
      </c>
      <c r="R241" t="inlineStr"/>
      <c r="S241" s="5" t="n">
        <v>10000</v>
      </c>
      <c r="T241" t="inlineStr">
        <is>
          <t>PrizePicks</t>
        </is>
      </c>
      <c r="U241" t="inlineStr">
        <is>
          <t>L</t>
        </is>
      </c>
      <c r="V241" s="5">
        <f>IF(NOT(ISNUMBER(Q241)),"",IF(U241="W",IF(ISNUMBER(S241),S241-Q241,IF(ISNUMBER(P241),Q241*(P241-1),"")),IF(U241="L",-Q241,IF(U241="Push",0,""))))</f>
        <v/>
      </c>
      <c r="W241">
        <f>IF(NOT(ISNUMBER(R241)),"",IF(U241="W",IF(ISNUMBER(P241),R241*(P241-1),""),IF(U241="L",-R241,IF(U241="Push",0,""))))</f>
        <v/>
      </c>
      <c r="X241" t="inlineStr">
        <is>
          <t>graded from final</t>
        </is>
      </c>
      <c r="Y241" t="inlineStr">
        <is>
          <t>N</t>
        </is>
      </c>
      <c r="Z241" t="inlineStr">
        <is>
          <t>https://x.com/BookitWithTrent/status/2097775790679007286</t>
        </is>
      </c>
      <c r="AA241" t="inlineStr">
        <is>
          <t>"The Wednesday Night Scripture"; Final: A.J. Brown 4 targets; Decimal odds derived from payout/stake</t>
        </is>
      </c>
      <c r="AB241" t="inlineStr">
        <is>
          <t>Parlay/multi-leg</t>
        </is>
      </c>
      <c r="AC241" s="5">
        <f>IF(ISNUMBER(V241),Q241,"")</f>
        <v/>
      </c>
      <c r="AD241">
        <f>IF(ISNUMBER(W241),R241,"")</f>
        <v/>
      </c>
    </row>
    <row r="242">
      <c r="A242" t="inlineStr">
        <is>
          <t>T-552176</t>
        </is>
      </c>
      <c r="B242" t="inlineStr">
        <is>
          <t>Trent</t>
        </is>
      </c>
      <c r="C242" s="2" t="n">
        <v>46274.6899537037</v>
      </c>
      <c r="D242">
        <f>IF(C242="","",TEXT(C242,"dddd"))</f>
        <v/>
      </c>
      <c r="E242" s="3" t="n">
        <v>46274</v>
      </c>
      <c r="F242">
        <f>IF(E242="","",TEXT(E242,"dddd"))</f>
        <v/>
      </c>
      <c r="G242" t="inlineStr">
        <is>
          <t>8:20 PM</t>
        </is>
      </c>
      <c r="H242" t="inlineStr">
        <is>
          <t>Y</t>
        </is>
      </c>
      <c r="I242" t="inlineStr">
        <is>
          <t>NFL primetime (other day)</t>
        </is>
      </c>
      <c r="J242" t="inlineStr">
        <is>
          <t>NFL</t>
        </is>
      </c>
      <c r="K242" t="inlineStr">
        <is>
          <t>NFL</t>
        </is>
      </c>
      <c r="L242" t="inlineStr">
        <is>
          <t>first TD</t>
        </is>
      </c>
      <c r="M242" t="inlineStr">
        <is>
          <t>Drake Maye first TD scorer</t>
        </is>
      </c>
      <c r="N242" t="n">
        <v>1</v>
      </c>
      <c r="O242" t="inlineStr">
        <is>
          <t>+2000</t>
        </is>
      </c>
      <c r="P242" s="4" t="n">
        <v>21</v>
      </c>
      <c r="Q242" s="5" t="inlineStr"/>
      <c r="R242" t="inlineStr"/>
      <c r="S242" s="5" t="inlineStr"/>
      <c r="T242" t="inlineStr">
        <is>
          <t>not shown</t>
        </is>
      </c>
      <c r="U242" t="inlineStr">
        <is>
          <t>L</t>
        </is>
      </c>
      <c r="V242" s="5">
        <f>IF(NOT(ISNUMBER(Q242)),"",IF(U242="W",IF(ISNUMBER(S242),S242-Q242,IF(ISNUMBER(P242),Q242*(P242-1),"")),IF(U242="L",-Q242,IF(U242="Push",0,""))))</f>
        <v/>
      </c>
      <c r="W242">
        <f>IF(NOT(ISNUMBER(R242)),"",IF(U242="W",IF(ISNUMBER(P242),R242*(P242-1),""),IF(U242="L",-R242,IF(U242="Push",0,""))))</f>
        <v/>
      </c>
      <c r="X242" t="inlineStr">
        <is>
          <t>posted</t>
        </is>
      </c>
      <c r="Y242" t="inlineStr">
        <is>
          <t>N</t>
        </is>
      </c>
      <c r="Z242" t="inlineStr">
        <is>
          <t>https://x.com/BookitWithTrent/status/2097800596325552176</t>
        </is>
      </c>
      <c r="AA242" t="inlineStr">
        <is>
          <t>WNF first TD; "it was quite literally always Eli Raridon first TD"; record moved to 0-1; Game date assumed = post date (CT)</t>
        </is>
      </c>
      <c r="AB242" t="inlineStr">
        <is>
          <t>Single</t>
        </is>
      </c>
      <c r="AC242" s="5">
        <f>IF(ISNUMBER(V242),Q242,"")</f>
        <v/>
      </c>
      <c r="AD242">
        <f>IF(ISNUMBER(W242),R242,"")</f>
        <v/>
      </c>
    </row>
    <row r="243">
      <c r="A243" t="inlineStr">
        <is>
          <t>S-299500</t>
        </is>
      </c>
      <c r="B243" t="inlineStr">
        <is>
          <t>Steve</t>
        </is>
      </c>
      <c r="C243" s="2" t="n">
        <v>46274.91741898148</v>
      </c>
      <c r="D243">
        <f>IF(C243="","",TEXT(C243,"dddd"))</f>
        <v/>
      </c>
      <c r="E243" s="3" t="n">
        <v>46274</v>
      </c>
      <c r="F243">
        <f>IF(E243="","",TEXT(E243,"dddd"))</f>
        <v/>
      </c>
      <c r="G243" t="inlineStr">
        <is>
          <t>8:20 PM</t>
        </is>
      </c>
      <c r="H243" t="inlineStr">
        <is>
          <t>Y</t>
        </is>
      </c>
      <c r="I243" t="inlineStr">
        <is>
          <t>NFL primetime (other day)</t>
        </is>
      </c>
      <c r="J243" t="inlineStr">
        <is>
          <t>NFL</t>
        </is>
      </c>
      <c r="K243" t="inlineStr">
        <is>
          <t>NFL</t>
        </is>
      </c>
      <c r="L243" t="inlineStr">
        <is>
          <t>ML</t>
        </is>
      </c>
      <c r="M243" t="inlineStr">
        <is>
          <t>New England Patriots ML vs Seattle Seahawks</t>
        </is>
      </c>
      <c r="N243" t="n">
        <v>1</v>
      </c>
      <c r="O243" t="inlineStr">
        <is>
          <t>+225</t>
        </is>
      </c>
      <c r="P243" s="4" t="n">
        <v>3.25</v>
      </c>
      <c r="Q243" s="5" t="n">
        <v>40000</v>
      </c>
      <c r="R243" t="inlineStr"/>
      <c r="S243" s="5" t="n">
        <v>130000</v>
      </c>
      <c r="T243" t="inlineStr">
        <is>
          <t>Gamdom</t>
        </is>
      </c>
      <c r="U243" t="inlineStr">
        <is>
          <t>L</t>
        </is>
      </c>
      <c r="V243" s="5">
        <f>IF(NOT(ISNUMBER(Q243)),"",IF(U243="W",IF(ISNUMBER(S243),S243-Q243,IF(ISNUMBER(P243),Q243*(P243-1),"")),IF(U243="L",-Q243,IF(U243="Push",0,""))))</f>
        <v/>
      </c>
      <c r="W243">
        <f>IF(NOT(ISNUMBER(R243)),"",IF(U243="W",IF(ISNUMBER(P243),R243*(P243-1),""),IF(U243="L",-R243,IF(U243="Push",0,""))))</f>
        <v/>
      </c>
      <c r="X243" t="inlineStr">
        <is>
          <t>graded from final</t>
        </is>
      </c>
      <c r="Y243" t="inlineStr">
        <is>
          <t>N</t>
        </is>
      </c>
      <c r="Z243" t="inlineStr">
        <is>
          <t>https://x.com/stevewilldoit/status/2097883029532299500</t>
        </is>
      </c>
      <c r="AA243" t="inlineStr">
        <is>
          <t>"Fuck it. Go pats"</t>
        </is>
      </c>
      <c r="AB243" t="inlineStr">
        <is>
          <t>Single</t>
        </is>
      </c>
      <c r="AC243" s="5">
        <f>IF(ISNUMBER(V243),Q243,"")</f>
        <v/>
      </c>
      <c r="AD243">
        <f>IF(ISNUMBER(W243),R243,"")</f>
        <v/>
      </c>
    </row>
    <row r="244">
      <c r="A244" t="inlineStr">
        <is>
          <t>S-678203</t>
        </is>
      </c>
      <c r="B244" t="inlineStr">
        <is>
          <t>Steve</t>
        </is>
      </c>
      <c r="C244" s="2" t="n">
        <v>46275.07671296296</v>
      </c>
      <c r="D244">
        <f>IF(C244="","",TEXT(C244,"dddd"))</f>
        <v/>
      </c>
      <c r="E244" s="3" t="n">
        <v>46275</v>
      </c>
      <c r="F244">
        <f>IF(E244="","",TEXT(E244,"dddd"))</f>
        <v/>
      </c>
      <c r="G244" t="inlineStr">
        <is>
          <t>8:35 PM</t>
        </is>
      </c>
      <c r="H244" t="inlineStr">
        <is>
          <t>Y</t>
        </is>
      </c>
      <c r="I244" t="inlineStr">
        <is>
          <t>TNF</t>
        </is>
      </c>
      <c r="J244" t="inlineStr">
        <is>
          <t>NFL</t>
        </is>
      </c>
      <c r="K244" t="inlineStr">
        <is>
          <t>NFL</t>
        </is>
      </c>
      <c r="L244" t="inlineStr">
        <is>
          <t>spread</t>
        </is>
      </c>
      <c r="M244" t="inlineStr">
        <is>
          <t>San Francisco 49ers +3.5 vs LA Rams</t>
        </is>
      </c>
      <c r="N244" t="n">
        <v>1</v>
      </c>
      <c r="O244" t="inlineStr">
        <is>
          <t>+101</t>
        </is>
      </c>
      <c r="P244" s="4" t="n">
        <v>2.01</v>
      </c>
      <c r="Q244" s="5" t="n">
        <v>50000</v>
      </c>
      <c r="R244" t="inlineStr"/>
      <c r="S244" s="5" t="n">
        <v>100500</v>
      </c>
      <c r="T244" t="inlineStr">
        <is>
          <t>Gamdom</t>
        </is>
      </c>
      <c r="U244" t="inlineStr">
        <is>
          <t>Push</t>
        </is>
      </c>
      <c r="V244" s="5">
        <f>IF(NOT(ISNUMBER(Q244)),"",IF(U244="W",IF(ISNUMBER(S244),S244-Q244,IF(ISNUMBER(P244),Q244*(P244-1),"")),IF(U244="L",-Q244,IF(U244="Push",0,""))))</f>
        <v/>
      </c>
      <c r="W244">
        <f>IF(NOT(ISNUMBER(R244)),"",IF(U244="W",IF(ISNUMBER(P244),R244*(P244-1),""),IF(U244="L",-R244,IF(U244="Push",0,""))))</f>
        <v/>
      </c>
      <c r="X244" t="inlineStr">
        <is>
          <t>posted</t>
        </is>
      </c>
      <c r="Y244" t="inlineStr">
        <is>
          <t>Y - tags Gamdom</t>
        </is>
      </c>
      <c r="Z244" t="inlineStr">
        <is>
          <t>https://x.com/stevewilldoit/status/2097940754798678203</t>
        </is>
      </c>
      <c r="AA244" t="inlineStr">
        <is>
          <t>Voided ("disregard my 49ers bet!! I voided it"); stake returned</t>
        </is>
      </c>
      <c r="AB244" t="inlineStr">
        <is>
          <t>Single</t>
        </is>
      </c>
      <c r="AC244" s="5">
        <f>IF(ISNUMBER(V244),Q244,"")</f>
        <v/>
      </c>
      <c r="AD244">
        <f>IF(ISNUMBER(W244),R244,"")</f>
        <v/>
      </c>
    </row>
    <row r="245">
      <c r="A245" t="inlineStr">
        <is>
          <t>T-585001</t>
        </is>
      </c>
      <c r="B245" t="inlineStr">
        <is>
          <t>Trent</t>
        </is>
      </c>
      <c r="C245" s="2" t="n">
        <v>46275.49883101852</v>
      </c>
      <c r="D245">
        <f>IF(C245="","",TEXT(C245,"dddd"))</f>
        <v/>
      </c>
      <c r="E245" s="3" t="n">
        <v>46275</v>
      </c>
      <c r="F245">
        <f>IF(E245="","",TEXT(E245,"dddd"))</f>
        <v/>
      </c>
      <c r="G245" t="inlineStr">
        <is>
          <t>8:35 PM</t>
        </is>
      </c>
      <c r="H245" t="inlineStr">
        <is>
          <t>Y</t>
        </is>
      </c>
      <c r="I245" t="inlineStr">
        <is>
          <t>TNF</t>
        </is>
      </c>
      <c r="J245" t="inlineStr">
        <is>
          <t>NFL</t>
        </is>
      </c>
      <c r="K245" t="inlineStr">
        <is>
          <t>NFL</t>
        </is>
      </c>
      <c r="L245" t="inlineStr">
        <is>
          <t>spread</t>
        </is>
      </c>
      <c r="M245" t="inlineStr">
        <is>
          <t>Los Angeles Rams -3.5 vs 49ers</t>
        </is>
      </c>
      <c r="N245" t="n">
        <v>1</v>
      </c>
      <c r="O245" t="inlineStr">
        <is>
          <t>-118</t>
        </is>
      </c>
      <c r="P245" s="4" t="n">
        <v>1.8475</v>
      </c>
      <c r="Q245" s="5" t="n">
        <v>1620.54</v>
      </c>
      <c r="R245" t="n">
        <v>3</v>
      </c>
      <c r="S245" s="5" t="n">
        <v>3001</v>
      </c>
      <c r="T245" t="inlineStr">
        <is>
          <t>PrizePicks</t>
        </is>
      </c>
      <c r="U245" t="inlineStr">
        <is>
          <t>L</t>
        </is>
      </c>
      <c r="V245" s="5">
        <f>IF(NOT(ISNUMBER(Q245)),"",IF(U245="W",IF(ISNUMBER(S245),S245-Q245,IF(ISNUMBER(P245),Q245*(P245-1),"")),IF(U245="L",-Q245,IF(U245="Push",0,""))))</f>
        <v/>
      </c>
      <c r="W245">
        <f>IF(NOT(ISNUMBER(R245)),"",IF(U245="W",IF(ISNUMBER(P245),R245*(P245-1),""),IF(U245="L",-R245,IF(U245="Push",0,""))))</f>
        <v/>
      </c>
      <c r="X245" t="inlineStr">
        <is>
          <t>posted</t>
        </is>
      </c>
      <c r="Y245" t="inlineStr">
        <is>
          <t>N</t>
        </is>
      </c>
      <c r="Z245" t="inlineStr">
        <is>
          <t>https://x.com/BookitWithTrent/status/2098093724261585001</t>
        </is>
      </c>
      <c r="AA245" t="inlineStr">
        <is>
          <t>"TNF Mortal Mega Max" 3U; "rams was biggest donation of the year"; a later recap lists it as Rams -4.5</t>
        </is>
      </c>
      <c r="AB245" t="inlineStr">
        <is>
          <t>Single</t>
        </is>
      </c>
      <c r="AC245" s="5">
        <f>IF(ISNUMBER(V245),Q245,"")</f>
        <v/>
      </c>
      <c r="AD245">
        <f>IF(ISNUMBER(W245),R245,"")</f>
        <v/>
      </c>
    </row>
    <row r="246">
      <c r="A246" t="inlineStr">
        <is>
          <t>T-445402</t>
        </is>
      </c>
      <c r="B246" t="inlineStr">
        <is>
          <t>Trent</t>
        </is>
      </c>
      <c r="C246" s="2" t="n">
        <v>46275.51697916666</v>
      </c>
      <c r="D246">
        <f>IF(C246="","",TEXT(C246,"dddd"))</f>
        <v/>
      </c>
      <c r="E246" s="3" t="n">
        <v>46275</v>
      </c>
      <c r="F246">
        <f>IF(E246="","",TEXT(E246,"dddd"))</f>
        <v/>
      </c>
      <c r="G246" t="inlineStr">
        <is>
          <t>8:35 PM</t>
        </is>
      </c>
      <c r="H246" t="inlineStr">
        <is>
          <t>Y</t>
        </is>
      </c>
      <c r="I246" t="inlineStr">
        <is>
          <t>TNF</t>
        </is>
      </c>
      <c r="J246" t="inlineStr">
        <is>
          <t>NFL</t>
        </is>
      </c>
      <c r="K246" t="inlineStr">
        <is>
          <t>NFL</t>
        </is>
      </c>
      <c r="L246" t="inlineStr">
        <is>
          <t>PrizePicks/DFS</t>
        </is>
      </c>
      <c r="M246" t="inlineStr">
        <is>
          <t>Christian McCaffrey o4.5 receptions; Brock Purdy o3.5 rush attempts; Harrison Mevis o9 fantasy score; Puka Nacua o10 rec targets</t>
        </is>
      </c>
      <c r="N246" t="n">
        <v>4</v>
      </c>
      <c r="O246" t="inlineStr">
        <is>
          <t>not shown</t>
        </is>
      </c>
      <c r="P246" s="4" t="n">
        <v>10</v>
      </c>
      <c r="Q246" s="5" t="n">
        <v>1000</v>
      </c>
      <c r="R246" t="inlineStr"/>
      <c r="S246" s="5" t="n">
        <v>10000</v>
      </c>
      <c r="T246" t="inlineStr">
        <is>
          <t>PrizePicks</t>
        </is>
      </c>
      <c r="U246" t="inlineStr">
        <is>
          <t>L</t>
        </is>
      </c>
      <c r="V246" s="5">
        <f>IF(NOT(ISNUMBER(Q246)),"",IF(U246="W",IF(ISNUMBER(S246),S246-Q246,IF(ISNUMBER(P246),Q246*(P246-1),"")),IF(U246="L",-Q246,IF(U246="Push",0,""))))</f>
        <v/>
      </c>
      <c r="W246">
        <f>IF(NOT(ISNUMBER(R246)),"",IF(U246="W",IF(ISNUMBER(P246),R246*(P246-1),""),IF(U246="L",-R246,IF(U246="Push",0,""))))</f>
        <v/>
      </c>
      <c r="X246" t="inlineStr">
        <is>
          <t>graded from final</t>
        </is>
      </c>
      <c r="Y246" t="inlineStr">
        <is>
          <t>N</t>
        </is>
      </c>
      <c r="Z246" t="inlineStr">
        <is>
          <t>https://x.com/BookitWithTrent/status/2098100302985445402</t>
        </is>
      </c>
      <c r="AA246" t="inlineStr">
        <is>
          <t>"The TNF Scripture"; Final: Mevis 1 FS (XP only); Decimal odds derived from payout/stake</t>
        </is>
      </c>
      <c r="AB246" t="inlineStr">
        <is>
          <t>Parlay/multi-leg</t>
        </is>
      </c>
      <c r="AC246" s="5">
        <f>IF(ISNUMBER(V246),Q246,"")</f>
        <v/>
      </c>
      <c r="AD246">
        <f>IF(ISNUMBER(W246),R246,"")</f>
        <v/>
      </c>
    </row>
    <row r="247">
      <c r="A247" t="inlineStr">
        <is>
          <t>T-953490</t>
        </is>
      </c>
      <c r="B247" t="inlineStr">
        <is>
          <t>Trent</t>
        </is>
      </c>
      <c r="C247" s="2" t="n">
        <v>46275.58766203704</v>
      </c>
      <c r="D247">
        <f>IF(C247="","",TEXT(C247,"dddd"))</f>
        <v/>
      </c>
      <c r="E247" s="3" t="n">
        <v>46275</v>
      </c>
      <c r="F247">
        <f>IF(E247="","",TEXT(E247,"dddd"))</f>
        <v/>
      </c>
      <c r="G247" t="inlineStr">
        <is>
          <t>8:35 PM</t>
        </is>
      </c>
      <c r="H247" t="inlineStr">
        <is>
          <t>Y</t>
        </is>
      </c>
      <c r="I247" t="inlineStr">
        <is>
          <t>TNF</t>
        </is>
      </c>
      <c r="J247" t="inlineStr">
        <is>
          <t>NFL</t>
        </is>
      </c>
      <c r="K247" t="inlineStr">
        <is>
          <t>NFL</t>
        </is>
      </c>
      <c r="L247" t="inlineStr">
        <is>
          <t>first TD</t>
        </is>
      </c>
      <c r="M247" t="inlineStr">
        <is>
          <t>Terrance Ferguson first TD scorer</t>
        </is>
      </c>
      <c r="N247" t="n">
        <v>1</v>
      </c>
      <c r="O247" t="inlineStr">
        <is>
          <t>+1567</t>
        </is>
      </c>
      <c r="P247" s="4" t="n">
        <v>16.67</v>
      </c>
      <c r="Q247" s="5" t="n">
        <v>214.26</v>
      </c>
      <c r="R247" t="inlineStr"/>
      <c r="S247" s="5" t="n">
        <v>3571</v>
      </c>
      <c r="T247" t="inlineStr">
        <is>
          <t>PrizePicks</t>
        </is>
      </c>
      <c r="U247" t="inlineStr">
        <is>
          <t>L</t>
        </is>
      </c>
      <c r="V247" s="5">
        <f>IF(NOT(ISNUMBER(Q247)),"",IF(U247="W",IF(ISNUMBER(S247),S247-Q247,IF(ISNUMBER(P247),Q247*(P247-1),"")),IF(U247="L",-Q247,IF(U247="Push",0,""))))</f>
        <v/>
      </c>
      <c r="W247">
        <f>IF(NOT(ISNUMBER(R247)),"",IF(U247="W",IF(ISNUMBER(P247),R247*(P247-1),""),IF(U247="L",-R247,IF(U247="Push",0,""))))</f>
        <v/>
      </c>
      <c r="X247" t="inlineStr">
        <is>
          <t>posted</t>
        </is>
      </c>
      <c r="Y247" t="inlineStr">
        <is>
          <t>N</t>
        </is>
      </c>
      <c r="Z247" t="inlineStr">
        <is>
          <t>https://x.com/BookitWithTrent/status/2098125918807953490</t>
        </is>
      </c>
      <c r="AA247" t="inlineStr">
        <is>
          <t>TNF first TD; "congrats if you hit Williams first TD"; record moved to 0-2; Game date assumed = post date (CT)</t>
        </is>
      </c>
      <c r="AB247" t="inlineStr">
        <is>
          <t>Single</t>
        </is>
      </c>
      <c r="AC247" s="5">
        <f>IF(ISNUMBER(V247),Q247,"")</f>
        <v/>
      </c>
      <c r="AD247">
        <f>IF(ISNUMBER(W247),R247,"")</f>
        <v/>
      </c>
    </row>
    <row r="248">
      <c r="A248" t="inlineStr">
        <is>
          <t>T-655255</t>
        </is>
      </c>
      <c r="B248" t="inlineStr">
        <is>
          <t>Trent</t>
        </is>
      </c>
      <c r="C248" s="2" t="n">
        <v>46275.71134259259</v>
      </c>
      <c r="D248">
        <f>IF(C248="","",TEXT(C248,"dddd"))</f>
        <v/>
      </c>
      <c r="E248" s="3" t="n">
        <v>46275</v>
      </c>
      <c r="F248">
        <f>IF(E248="","",TEXT(E248,"dddd"))</f>
        <v/>
      </c>
      <c r="G248" t="inlineStr">
        <is>
          <t>8:35 PM</t>
        </is>
      </c>
      <c r="H248" t="inlineStr">
        <is>
          <t>Y</t>
        </is>
      </c>
      <c r="I248" t="inlineStr">
        <is>
          <t>TNF</t>
        </is>
      </c>
      <c r="J248" t="inlineStr">
        <is>
          <t>NFL</t>
        </is>
      </c>
      <c r="K248" t="inlineStr">
        <is>
          <t>NFL</t>
        </is>
      </c>
      <c r="L248" t="inlineStr">
        <is>
          <t>PrizePicks/DFS</t>
        </is>
      </c>
      <c r="M248" t="inlineStr">
        <is>
          <t>"Surgical Six" 6-pick power play (legs blurred, not shown)</t>
        </is>
      </c>
      <c r="N248" t="n">
        <v>6</v>
      </c>
      <c r="O248" t="inlineStr">
        <is>
          <t>not shown</t>
        </is>
      </c>
      <c r="P248" s="4" t="n">
        <v>9.433999999999999</v>
      </c>
      <c r="Q248" s="5" t="n">
        <v>1060</v>
      </c>
      <c r="R248" t="inlineStr"/>
      <c r="S248" s="5" t="n">
        <v>10000</v>
      </c>
      <c r="T248" t="inlineStr">
        <is>
          <t>PrizePicks</t>
        </is>
      </c>
      <c r="U248" t="inlineStr">
        <is>
          <t>Unknown</t>
        </is>
      </c>
      <c r="V248" s="5">
        <f>IF(NOT(ISNUMBER(Q248)),"",IF(U248="W",IF(ISNUMBER(S248),S248-Q248,IF(ISNUMBER(P248),Q248*(P248-1),"")),IF(U248="L",-Q248,IF(U248="Push",0,""))))</f>
        <v/>
      </c>
      <c r="W248">
        <f>IF(NOT(ISNUMBER(R248)),"",IF(U248="W",IF(ISNUMBER(P248),R248*(P248-1),""),IF(U248="L",-R248,IF(U248="Push",0,""))))</f>
        <v/>
      </c>
      <c r="X248" t="inlineStr">
        <is>
          <t>unverified</t>
        </is>
      </c>
      <c r="Y248" t="inlineStr">
        <is>
          <t>Y - tags PrizePicks</t>
        </is>
      </c>
      <c r="Z248" t="inlineStr">
        <is>
          <t>https://x.com/BookitWithTrent/status/2098170737458655255</t>
        </is>
      </c>
      <c r="AA248" t="inlineStr">
        <is>
          <t>Legs not visible; Game date assumed = post date (CT); Decimal odds derived from payout/stake</t>
        </is>
      </c>
      <c r="AB248" t="inlineStr">
        <is>
          <t>Parlay/multi-leg</t>
        </is>
      </c>
      <c r="AC248" s="5">
        <f>IF(ISNUMBER(V248),Q248,"")</f>
        <v/>
      </c>
      <c r="AD248">
        <f>IF(ISNUMBER(W248),R248,"")</f>
        <v/>
      </c>
    </row>
    <row r="249">
      <c r="A249" t="inlineStr">
        <is>
          <t>S-366944</t>
        </is>
      </c>
      <c r="B249" t="inlineStr">
        <is>
          <t>Steve</t>
        </is>
      </c>
      <c r="C249" s="2" t="n">
        <v>46275.75608796296</v>
      </c>
      <c r="D249">
        <f>IF(C249="","",TEXT(C249,"dddd"))</f>
        <v/>
      </c>
      <c r="E249" s="3" t="n">
        <v>46275</v>
      </c>
      <c r="F249">
        <f>IF(E249="","",TEXT(E249,"dddd"))</f>
        <v/>
      </c>
      <c r="G249" t="inlineStr">
        <is>
          <t>8:35 PM</t>
        </is>
      </c>
      <c r="H249" t="inlineStr">
        <is>
          <t>Y</t>
        </is>
      </c>
      <c r="I249" t="inlineStr">
        <is>
          <t>TNF</t>
        </is>
      </c>
      <c r="J249" t="inlineStr">
        <is>
          <t>NFL</t>
        </is>
      </c>
      <c r="K249" t="inlineStr">
        <is>
          <t>NFL</t>
        </is>
      </c>
      <c r="L249" t="inlineStr">
        <is>
          <t>spread</t>
        </is>
      </c>
      <c r="M249" t="inlineStr">
        <is>
          <t>Los Angeles Rams -2.5 vs San Francisco 49ers</t>
        </is>
      </c>
      <c r="N249" t="n">
        <v>1</v>
      </c>
      <c r="O249" t="inlineStr">
        <is>
          <t>-156</t>
        </is>
      </c>
      <c r="P249" s="4" t="n">
        <v>1.641</v>
      </c>
      <c r="Q249" s="5" t="n">
        <v>150000</v>
      </c>
      <c r="R249" t="inlineStr"/>
      <c r="S249" s="5" t="n">
        <v>246000</v>
      </c>
      <c r="T249" t="inlineStr">
        <is>
          <t>Gamdom</t>
        </is>
      </c>
      <c r="U249" t="inlineStr">
        <is>
          <t>L</t>
        </is>
      </c>
      <c r="V249" s="5">
        <f>IF(NOT(ISNUMBER(Q249)),"",IF(U249="W",IF(ISNUMBER(S249),S249-Q249,IF(ISNUMBER(P249),Q249*(P249-1),"")),IF(U249="L",-Q249,IF(U249="Push",0,""))))</f>
        <v/>
      </c>
      <c r="W249">
        <f>IF(NOT(ISNUMBER(R249)),"",IF(U249="W",IF(ISNUMBER(P249),R249*(P249-1),""),IF(U249="L",-R249,IF(U249="Push",0,""))))</f>
        <v/>
      </c>
      <c r="X249" t="inlineStr">
        <is>
          <t>graded from final</t>
        </is>
      </c>
      <c r="Y249" t="inlineStr">
        <is>
          <t>Y - tags Gamdom</t>
        </is>
      </c>
      <c r="Z249" t="inlineStr">
        <is>
          <t>https://x.com/stevewilldoit/status/2098186950318366944</t>
        </is>
      </c>
      <c r="AA249" t="inlineStr">
        <is>
          <t>Replaced the voided 49ers bet ("going against Puka? NO WAY")</t>
        </is>
      </c>
      <c r="AB249" t="inlineStr">
        <is>
          <t>Single</t>
        </is>
      </c>
      <c r="AC249" s="5">
        <f>IF(ISNUMBER(V249),Q249,"")</f>
        <v/>
      </c>
      <c r="AD249">
        <f>IF(ISNUMBER(W249),R249,"")</f>
        <v/>
      </c>
    </row>
    <row r="250">
      <c r="A250" t="inlineStr">
        <is>
          <t>T-348742</t>
        </is>
      </c>
      <c r="B250" t="inlineStr">
        <is>
          <t>Trent</t>
        </is>
      </c>
      <c r="C250" s="2" t="n">
        <v>46276.57844907408</v>
      </c>
      <c r="D250">
        <f>IF(C250="","",TEXT(C250,"dddd"))</f>
        <v/>
      </c>
      <c r="E250" s="3" t="n">
        <v>46276</v>
      </c>
      <c r="F250">
        <f>IF(E250="","",TEXT(E250,"dddd"))</f>
        <v/>
      </c>
      <c r="G250" t="inlineStr">
        <is>
          <t>8:00 PM</t>
        </is>
      </c>
      <c r="H250" t="inlineStr">
        <is>
          <t>Y</t>
        </is>
      </c>
      <c r="I250" t="inlineStr">
        <is>
          <t>CFB weeknight (Tue-Fri)</t>
        </is>
      </c>
      <c r="J250" t="inlineStr">
        <is>
          <t>CFB</t>
        </is>
      </c>
      <c r="K250" t="inlineStr">
        <is>
          <t>CFB</t>
        </is>
      </c>
      <c r="L250" t="inlineStr">
        <is>
          <t>spread</t>
        </is>
      </c>
      <c r="M250" t="inlineStr">
        <is>
          <t>Missouri -4.5 vs Kansas</t>
        </is>
      </c>
      <c r="N250" t="n">
        <v>1</v>
      </c>
      <c r="O250" t="inlineStr">
        <is>
          <t>-117</t>
        </is>
      </c>
      <c r="P250" s="4" t="n">
        <v>1.8547</v>
      </c>
      <c r="Q250" s="5" t="n">
        <v>2160</v>
      </c>
      <c r="R250" t="n">
        <v>4</v>
      </c>
      <c r="S250" s="5" t="n">
        <v>4000</v>
      </c>
      <c r="T250" t="inlineStr">
        <is>
          <t>PrizePicks</t>
        </is>
      </c>
      <c r="U250" t="inlineStr">
        <is>
          <t>W</t>
        </is>
      </c>
      <c r="V250" s="5">
        <f>IF(NOT(ISNUMBER(Q250)),"",IF(U250="W",IF(ISNUMBER(S250),S250-Q250,IF(ISNUMBER(P250),Q250*(P250-1),"")),IF(U250="L",-Q250,IF(U250="Push",0,""))))</f>
        <v/>
      </c>
      <c r="W250">
        <f>IF(NOT(ISNUMBER(R250)),"",IF(U250="W",IF(ISNUMBER(P250),R250*(P250-1),""),IF(U250="L",-R250,IF(U250="Push",0,""))))</f>
        <v/>
      </c>
      <c r="X250" t="inlineStr">
        <is>
          <t>graded from final</t>
        </is>
      </c>
      <c r="Y250" t="inlineStr">
        <is>
          <t>N</t>
        </is>
      </c>
      <c r="Z250" t="inlineStr">
        <is>
          <t>https://x.com/BookitWithTrent/status/2098484967139348742</t>
        </is>
      </c>
      <c r="AA250" t="inlineStr">
        <is>
          <t>"CFB Mortal Mega Max" 4u (also called "5U max play")</t>
        </is>
      </c>
      <c r="AB250" t="inlineStr">
        <is>
          <t>Single</t>
        </is>
      </c>
      <c r="AC250" s="5">
        <f>IF(ISNUMBER(V250),Q250,"")</f>
        <v/>
      </c>
      <c r="AD250">
        <f>IF(ISNUMBER(W250),R250,"")</f>
        <v/>
      </c>
    </row>
    <row r="251">
      <c r="A251" t="inlineStr">
        <is>
          <t>S-822213</t>
        </is>
      </c>
      <c r="B251" t="inlineStr">
        <is>
          <t>Steve</t>
        </is>
      </c>
      <c r="C251" s="2" t="n">
        <v>46276.58172453703</v>
      </c>
      <c r="D251">
        <f>IF(C251="","",TEXT(C251,"dddd"))</f>
        <v/>
      </c>
      <c r="E251" s="3" t="n">
        <v>46276</v>
      </c>
      <c r="F251">
        <f>IF(E251="","",TEXT(E251,"dddd"))</f>
        <v/>
      </c>
      <c r="G251" t="inlineStr">
        <is>
          <t>6:45 PM</t>
        </is>
      </c>
      <c r="H251" t="inlineStr">
        <is>
          <t>N</t>
        </is>
      </c>
      <c r="I251" t="inlineStr"/>
      <c r="J251" t="inlineStr">
        <is>
          <t>MLB</t>
        </is>
      </c>
      <c r="K251" t="inlineStr">
        <is>
          <t>MLB</t>
        </is>
      </c>
      <c r="L251" t="inlineStr">
        <is>
          <t>spread</t>
        </is>
      </c>
      <c r="M251" t="inlineStr">
        <is>
          <t>Washington Nationals F5 handicap (0) vs LA Angels</t>
        </is>
      </c>
      <c r="N251" t="n">
        <v>1</v>
      </c>
      <c r="O251" t="inlineStr">
        <is>
          <t>-175</t>
        </is>
      </c>
      <c r="P251" s="4" t="n">
        <v>1.5714</v>
      </c>
      <c r="Q251" s="5" t="n">
        <v>75000</v>
      </c>
      <c r="R251" t="inlineStr"/>
      <c r="S251" s="5" t="n">
        <v>117750</v>
      </c>
      <c r="T251" t="inlineStr">
        <is>
          <t>Gamdom</t>
        </is>
      </c>
      <c r="U251" t="inlineStr">
        <is>
          <t>Push</t>
        </is>
      </c>
      <c r="V251" s="5">
        <f>IF(NOT(ISNUMBER(Q251)),"",IF(U251="W",IF(ISNUMBER(S251),S251-Q251,IF(ISNUMBER(P251),Q251*(P251-1),"")),IF(U251="L",-Q251,IF(U251="Push",0,""))))</f>
        <v/>
      </c>
      <c r="W251">
        <f>IF(NOT(ISNUMBER(R251)),"",IF(U251="W",IF(ISNUMBER(P251),R251*(P251-1),""),IF(U251="L",-R251,IF(U251="Push",0,""))))</f>
        <v/>
      </c>
      <c r="X251" t="inlineStr">
        <is>
          <t>graded from final</t>
        </is>
      </c>
      <c r="Y251" t="inlineStr">
        <is>
          <t>Y - tags Gamdom</t>
        </is>
      </c>
      <c r="Z251" t="inlineStr">
        <is>
          <t>https://x.com/stevewilldoit/status/2098486153531822213</t>
        </is>
      </c>
      <c r="AA251" t="inlineStr">
        <is>
          <t>"AI guy Brandon back"</t>
        </is>
      </c>
      <c r="AB251" t="inlineStr">
        <is>
          <t>Single</t>
        </is>
      </c>
      <c r="AC251" s="5">
        <f>IF(ISNUMBER(V251),Q251,"")</f>
        <v/>
      </c>
      <c r="AD251">
        <f>IF(ISNUMBER(W251),R251,"")</f>
        <v/>
      </c>
    </row>
    <row r="252">
      <c r="A252" t="inlineStr">
        <is>
          <t>T-406390</t>
        </is>
      </c>
      <c r="B252" t="inlineStr">
        <is>
          <t>Trent</t>
        </is>
      </c>
      <c r="C252" s="2" t="n">
        <v>46276.68481481481</v>
      </c>
      <c r="D252">
        <f>IF(C252="","",TEXT(C252,"dddd"))</f>
        <v/>
      </c>
      <c r="E252" s="3" t="n">
        <v>46276</v>
      </c>
      <c r="F252">
        <f>IF(E252="","",TEXT(E252,"dddd"))</f>
        <v/>
      </c>
      <c r="G252" t="inlineStr">
        <is>
          <t>8:10 PM</t>
        </is>
      </c>
      <c r="H252" t="inlineStr">
        <is>
          <t>N</t>
        </is>
      </c>
      <c r="I252" t="inlineStr"/>
      <c r="J252" t="inlineStr">
        <is>
          <t>Other</t>
        </is>
      </c>
      <c r="K252" t="inlineStr">
        <is>
          <t>Multi-sport (CFB/MLB)</t>
        </is>
      </c>
      <c r="L252" t="inlineStr">
        <is>
          <t>parlay</t>
        </is>
      </c>
      <c r="M252" t="inlineStr">
        <is>
          <t>Boston College ML; Missouri ML; Braves ML; Rays ML; Guardians ML</t>
        </is>
      </c>
      <c r="N252" t="n">
        <v>5</v>
      </c>
      <c r="O252" t="inlineStr">
        <is>
          <t>not shown</t>
        </is>
      </c>
      <c r="P252" s="4" t="n">
        <v>9.803900000000001</v>
      </c>
      <c r="Q252" s="5" t="n">
        <v>510</v>
      </c>
      <c r="R252" t="inlineStr"/>
      <c r="S252" s="5" t="n">
        <v>5000</v>
      </c>
      <c r="T252" t="inlineStr">
        <is>
          <t>PrizePicks</t>
        </is>
      </c>
      <c r="U252" t="inlineStr">
        <is>
          <t>W</t>
        </is>
      </c>
      <c r="V252" s="5">
        <f>IF(NOT(ISNUMBER(Q252)),"",IF(U252="W",IF(ISNUMBER(S252),S252-Q252,IF(ISNUMBER(P252),Q252*(P252-1),"")),IF(U252="L",-Q252,IF(U252="Push",0,""))))</f>
        <v/>
      </c>
      <c r="W252">
        <f>IF(NOT(ISNUMBER(R252)),"",IF(U252="W",IF(ISNUMBER(P252),R252*(P252-1),""),IF(U252="L",-R252,IF(U252="Push",0,""))))</f>
        <v/>
      </c>
      <c r="X252" t="inlineStr">
        <is>
          <t>posted</t>
        </is>
      </c>
      <c r="Y252" t="inlineStr">
        <is>
          <t>N</t>
        </is>
      </c>
      <c r="Z252" t="inlineStr">
        <is>
          <t>https://x.com/BookitWithTrent/status/2098523510662406390</t>
        </is>
      </c>
      <c r="AA252" t="inlineStr">
        <is>
          <t>"Friday Night Fugazi 5" on PrizePicks; "BAAANNNGGG✅✅✅✅✅"; Decimal odds derived from payout/stake</t>
        </is>
      </c>
      <c r="AB252" t="inlineStr">
        <is>
          <t>Parlay/multi-leg</t>
        </is>
      </c>
      <c r="AC252" s="5">
        <f>IF(ISNUMBER(V252),Q252,"")</f>
        <v/>
      </c>
      <c r="AD252">
        <f>IF(ISNUMBER(W252),R252,"")</f>
        <v/>
      </c>
    </row>
    <row r="253">
      <c r="A253" t="inlineStr">
        <is>
          <t>S-684266</t>
        </is>
      </c>
      <c r="B253" t="inlineStr">
        <is>
          <t>Steve</t>
        </is>
      </c>
      <c r="C253" s="2" t="n">
        <v>46276.88079861111</v>
      </c>
      <c r="D253">
        <f>IF(C253="","",TEXT(C253,"dddd"))</f>
        <v/>
      </c>
      <c r="E253" s="3" t="n">
        <v>46276</v>
      </c>
      <c r="F253">
        <f>IF(E253="","",TEXT(E253,"dddd"))</f>
        <v/>
      </c>
      <c r="G253" t="inlineStr">
        <is>
          <t>10:15 PM</t>
        </is>
      </c>
      <c r="H253" t="inlineStr">
        <is>
          <t>N</t>
        </is>
      </c>
      <c r="I253" t="inlineStr"/>
      <c r="J253" t="inlineStr">
        <is>
          <t>MLB</t>
        </is>
      </c>
      <c r="K253" t="inlineStr">
        <is>
          <t>MLB</t>
        </is>
      </c>
      <c r="L253" t="inlineStr">
        <is>
          <t>spread</t>
        </is>
      </c>
      <c r="M253" t="inlineStr">
        <is>
          <t>San Francisco Giants F5 +0.5 vs San Diego Padres</t>
        </is>
      </c>
      <c r="N253" t="n">
        <v>1</v>
      </c>
      <c r="O253" t="inlineStr">
        <is>
          <t>-130</t>
        </is>
      </c>
      <c r="P253" s="4" t="n">
        <v>1.7692</v>
      </c>
      <c r="Q253" s="5" t="n">
        <v>125000</v>
      </c>
      <c r="R253" t="inlineStr"/>
      <c r="S253" s="5" t="n">
        <v>221250</v>
      </c>
      <c r="T253" t="inlineStr">
        <is>
          <t>Gamdom</t>
        </is>
      </c>
      <c r="U253" t="inlineStr">
        <is>
          <t>L</t>
        </is>
      </c>
      <c r="V253" s="5">
        <f>IF(NOT(ISNUMBER(Q253)),"",IF(U253="W",IF(ISNUMBER(S253),S253-Q253,IF(ISNUMBER(P253),Q253*(P253-1),"")),IF(U253="L",-Q253,IF(U253="Push",0,""))))</f>
        <v/>
      </c>
      <c r="W253">
        <f>IF(NOT(ISNUMBER(R253)),"",IF(U253="W",IF(ISNUMBER(P253),R253*(P253-1),""),IF(U253="L",-R253,IF(U253="Push",0,""))))</f>
        <v/>
      </c>
      <c r="X253" t="inlineStr">
        <is>
          <t>graded from final</t>
        </is>
      </c>
      <c r="Y253" t="inlineStr">
        <is>
          <t>Y - tags Gamdom</t>
        </is>
      </c>
      <c r="Z253" t="inlineStr">
        <is>
          <t>https://x.com/stevewilldoit/status/2098594534443684266</t>
        </is>
      </c>
      <c r="AA253" t="inlineStr">
        <is>
          <t>AI guy "Giants +0.5 F5"</t>
        </is>
      </c>
      <c r="AB253" t="inlineStr">
        <is>
          <t>Single</t>
        </is>
      </c>
      <c r="AC253" s="5">
        <f>IF(ISNUMBER(V253),Q253,"")</f>
        <v/>
      </c>
      <c r="AD253">
        <f>IF(ISNUMBER(W253),R253,"")</f>
        <v/>
      </c>
    </row>
    <row r="254">
      <c r="A254" t="inlineStr">
        <is>
          <t>T-795713</t>
        </is>
      </c>
      <c r="B254" t="inlineStr">
        <is>
          <t>Trent</t>
        </is>
      </c>
      <c r="C254" s="2" t="n">
        <v>46277.41619212963</v>
      </c>
      <c r="D254">
        <f>IF(C254="","",TEXT(C254,"dddd"))</f>
        <v/>
      </c>
      <c r="E254" s="3" t="n">
        <v>46277</v>
      </c>
      <c r="F254">
        <f>IF(E254="","",TEXT(E254,"dddd"))</f>
        <v/>
      </c>
      <c r="G254" t="inlineStr">
        <is>
          <t>7:30 PM</t>
        </is>
      </c>
      <c r="H254" t="inlineStr">
        <is>
          <t>Y</t>
        </is>
      </c>
      <c r="I254" t="inlineStr">
        <is>
          <t>CFB Saturday night</t>
        </is>
      </c>
      <c r="J254" t="inlineStr">
        <is>
          <t>CFB</t>
        </is>
      </c>
      <c r="K254" t="inlineStr">
        <is>
          <t>CFB</t>
        </is>
      </c>
      <c r="L254" t="inlineStr">
        <is>
          <t>spread</t>
        </is>
      </c>
      <c r="M254" t="inlineStr">
        <is>
          <t>Texas -1.5 vs Ohio State</t>
        </is>
      </c>
      <c r="N254" t="n">
        <v>1</v>
      </c>
      <c r="O254" t="inlineStr">
        <is>
          <t>-113</t>
        </is>
      </c>
      <c r="P254" s="4" t="n">
        <v>1.885</v>
      </c>
      <c r="Q254" s="5" t="n">
        <v>5300</v>
      </c>
      <c r="R254" t="n">
        <v>10</v>
      </c>
      <c r="S254" s="5" t="n">
        <v>10000</v>
      </c>
      <c r="T254" t="inlineStr">
        <is>
          <t>PrizePicks</t>
        </is>
      </c>
      <c r="U254" t="inlineStr">
        <is>
          <t>L</t>
        </is>
      </c>
      <c r="V254" s="5">
        <f>IF(NOT(ISNUMBER(Q254)),"",IF(U254="W",IF(ISNUMBER(S254),S254-Q254,IF(ISNUMBER(P254),Q254*(P254-1),"")),IF(U254="L",-Q254,IF(U254="Push",0,""))))</f>
        <v/>
      </c>
      <c r="W254">
        <f>IF(NOT(ISNUMBER(R254)),"",IF(U254="W",IF(ISNUMBER(P254),R254*(P254-1),""),IF(U254="L",-R254,IF(U254="Push",0,""))))</f>
        <v/>
      </c>
      <c r="X254" t="inlineStr">
        <is>
          <t>graded from final</t>
        </is>
      </c>
      <c r="Y254" t="inlineStr">
        <is>
          <t>N</t>
        </is>
      </c>
      <c r="Z254" t="inlineStr">
        <is>
          <t>https://x.com/BookitWithTrent/status/2098788555220795713</t>
        </is>
      </c>
      <c r="AA254" t="inlineStr">
        <is>
          <t>"Official 10U Mortal Mega Max"; "having -1.5 right now fucking sucks"</t>
        </is>
      </c>
      <c r="AB254" t="inlineStr">
        <is>
          <t>Single</t>
        </is>
      </c>
      <c r="AC254" s="5">
        <f>IF(ISNUMBER(V254),Q254,"")</f>
        <v/>
      </c>
      <c r="AD254">
        <f>IF(ISNUMBER(W254),R254,"")</f>
        <v/>
      </c>
    </row>
    <row r="255">
      <c r="A255" t="inlineStr">
        <is>
          <t>T-783414</t>
        </is>
      </c>
      <c r="B255" t="inlineStr">
        <is>
          <t>Trent</t>
        </is>
      </c>
      <c r="C255" s="2" t="n">
        <v>46277.41956018518</v>
      </c>
      <c r="D255">
        <f>IF(C255="","",TEXT(C255,"dddd"))</f>
        <v/>
      </c>
      <c r="E255" s="3" t="n">
        <v>46277</v>
      </c>
      <c r="F255">
        <f>IF(E255="","",TEXT(E255,"dddd"))</f>
        <v/>
      </c>
      <c r="G255" t="inlineStr">
        <is>
          <t>7:30 PM</t>
        </is>
      </c>
      <c r="H255" t="inlineStr">
        <is>
          <t>N</t>
        </is>
      </c>
      <c r="I255" t="inlineStr"/>
      <c r="J255" t="inlineStr">
        <is>
          <t>CFB</t>
        </is>
      </c>
      <c r="K255" t="inlineStr">
        <is>
          <t>CFB</t>
        </is>
      </c>
      <c r="L255" t="inlineStr">
        <is>
          <t>parlay</t>
        </is>
      </c>
      <c r="M255" t="inlineStr">
        <is>
          <t>Michigan ML; Illinois ML; Syracuse ML; BYU ML; Texas ML</t>
        </is>
      </c>
      <c r="N255" t="n">
        <v>5</v>
      </c>
      <c r="O255" t="inlineStr">
        <is>
          <t>not shown</t>
        </is>
      </c>
      <c r="P255" s="4" t="n">
        <v>12.5</v>
      </c>
      <c r="Q255" s="5" t="n">
        <v>1000</v>
      </c>
      <c r="R255" t="inlineStr"/>
      <c r="S255" s="5" t="n">
        <v>12500</v>
      </c>
      <c r="T255" t="inlineStr">
        <is>
          <t>PrizePicks</t>
        </is>
      </c>
      <c r="U255" t="inlineStr">
        <is>
          <t>L</t>
        </is>
      </c>
      <c r="V255" s="5">
        <f>IF(NOT(ISNUMBER(Q255)),"",IF(U255="W",IF(ISNUMBER(S255),S255-Q255,IF(ISNUMBER(P255),Q255*(P255-1),"")),IF(U255="L",-Q255,IF(U255="Push",0,""))))</f>
        <v/>
      </c>
      <c r="W255">
        <f>IF(NOT(ISNUMBER(R255)),"",IF(U255="W",IF(ISNUMBER(P255),R255*(P255-1),""),IF(U255="L",-R255,IF(U255="Push",0,""))))</f>
        <v/>
      </c>
      <c r="X255" t="inlineStr">
        <is>
          <t>graded from final</t>
        </is>
      </c>
      <c r="Y255" t="inlineStr">
        <is>
          <t>N</t>
        </is>
      </c>
      <c r="Z255" t="inlineStr">
        <is>
          <t>https://x.com/BookitWithTrent/status/2098789774932783414</t>
        </is>
      </c>
      <c r="AA255" t="inlineStr">
        <is>
          <t>"Saturday Fugazi 5"; Michigan ML leg hit ("biggest underdog in Fugazi history"); Decimal odds derived from payout/stake</t>
        </is>
      </c>
      <c r="AB255" t="inlineStr">
        <is>
          <t>Parlay/multi-leg</t>
        </is>
      </c>
      <c r="AC255" s="5">
        <f>IF(ISNUMBER(V255),Q255,"")</f>
        <v/>
      </c>
      <c r="AD255">
        <f>IF(ISNUMBER(W255),R255,"")</f>
        <v/>
      </c>
    </row>
    <row r="256">
      <c r="A256" t="inlineStr">
        <is>
          <t>S-055405</t>
        </is>
      </c>
      <c r="B256" t="inlineStr">
        <is>
          <t>Steve</t>
        </is>
      </c>
      <c r="C256" s="2" t="n">
        <v>46277.43728009259</v>
      </c>
      <c r="D256">
        <f>IF(C256="","",TEXT(C256,"dddd"))</f>
        <v/>
      </c>
      <c r="E256" s="3" t="n">
        <v>46277</v>
      </c>
      <c r="F256">
        <f>IF(E256="","",TEXT(E256,"dddd"))</f>
        <v/>
      </c>
      <c r="G256" t="inlineStr">
        <is>
          <t>not matched</t>
        </is>
      </c>
      <c r="H256" t="inlineStr">
        <is>
          <t>N</t>
        </is>
      </c>
      <c r="I256" t="inlineStr"/>
      <c r="J256" t="inlineStr">
        <is>
          <t>Soccer</t>
        </is>
      </c>
      <c r="K256" t="inlineStr">
        <is>
          <t>Premier League</t>
        </is>
      </c>
      <c r="L256" t="inlineStr">
        <is>
          <t>spread</t>
        </is>
      </c>
      <c r="M256" t="inlineStr">
        <is>
          <t>Fulham +0.5 (live, 0-0) vs Liverpool</t>
        </is>
      </c>
      <c r="N256" t="n">
        <v>1</v>
      </c>
      <c r="O256" t="inlineStr">
        <is>
          <t>-143</t>
        </is>
      </c>
      <c r="P256" s="4" t="n">
        <v>1.6993</v>
      </c>
      <c r="Q256" s="5" t="n">
        <v>50000</v>
      </c>
      <c r="R256" t="inlineStr"/>
      <c r="S256" s="5" t="n">
        <v>85000</v>
      </c>
      <c r="T256" t="inlineStr">
        <is>
          <t>Gamdom</t>
        </is>
      </c>
      <c r="U256" t="inlineStr">
        <is>
          <t>W</t>
        </is>
      </c>
      <c r="V256" s="5">
        <f>IF(NOT(ISNUMBER(Q256)),"",IF(U256="W",IF(ISNUMBER(S256),S256-Q256,IF(ISNUMBER(P256),Q256*(P256-1),"")),IF(U256="L",-Q256,IF(U256="Push",0,""))))</f>
        <v/>
      </c>
      <c r="W256">
        <f>IF(NOT(ISNUMBER(R256)),"",IF(U256="W",IF(ISNUMBER(P256),R256*(P256-1),""),IF(U256="L",-R256,IF(U256="Push",0,""))))</f>
        <v/>
      </c>
      <c r="X256" t="inlineStr">
        <is>
          <t>graded from final</t>
        </is>
      </c>
      <c r="Y256" t="inlineStr">
        <is>
          <t>N</t>
        </is>
      </c>
      <c r="Z256" t="inlineStr">
        <is>
          <t>https://x.com/stevewilldoit/status/2098796197209055405</t>
        </is>
      </c>
      <c r="AA256" t="inlineStr">
        <is>
          <t>Finished 0-0; Game date assumed = post date (CT)</t>
        </is>
      </c>
      <c r="AB256" t="inlineStr">
        <is>
          <t>Single</t>
        </is>
      </c>
      <c r="AC256" s="5">
        <f>IF(ISNUMBER(V256),Q256,"")</f>
        <v/>
      </c>
      <c r="AD256">
        <f>IF(ISNUMBER(W256),R256,"")</f>
        <v/>
      </c>
    </row>
    <row r="257">
      <c r="A257" t="inlineStr">
        <is>
          <t>T-420119</t>
        </is>
      </c>
      <c r="B257" t="inlineStr">
        <is>
          <t>Trent</t>
        </is>
      </c>
      <c r="C257" s="2" t="n">
        <v>46277.54091435186</v>
      </c>
      <c r="D257">
        <f>IF(C257="","",TEXT(C257,"dddd"))</f>
        <v/>
      </c>
      <c r="E257" s="3" t="n">
        <v>46277</v>
      </c>
      <c r="F257">
        <f>IF(E257="","",TEXT(E257,"dddd"))</f>
        <v/>
      </c>
      <c r="G257" t="inlineStr">
        <is>
          <t>not matched</t>
        </is>
      </c>
      <c r="H257" t="inlineStr">
        <is>
          <t>Unknown</t>
        </is>
      </c>
      <c r="I257" t="inlineStr">
        <is>
          <t>kickoff not matched</t>
        </is>
      </c>
      <c r="J257" t="inlineStr">
        <is>
          <t>CFB</t>
        </is>
      </c>
      <c r="K257" t="inlineStr">
        <is>
          <t>CFB</t>
        </is>
      </c>
      <c r="L257" t="inlineStr">
        <is>
          <t>PrizePicks/DFS</t>
        </is>
      </c>
      <c r="M257" t="inlineStr">
        <is>
          <t>Cam Coleman o61.5 rec yds; Julian Sayin o29.5 pass attempts</t>
        </is>
      </c>
      <c r="N257" t="n">
        <v>2</v>
      </c>
      <c r="O257" t="inlineStr">
        <is>
          <t>not shown</t>
        </is>
      </c>
      <c r="P257" s="4" t="n">
        <v>2.9</v>
      </c>
      <c r="Q257" s="5" t="n">
        <v>2500</v>
      </c>
      <c r="R257" t="inlineStr"/>
      <c r="S257" s="5" t="n">
        <v>7250</v>
      </c>
      <c r="T257" t="inlineStr">
        <is>
          <t>PrizePicks</t>
        </is>
      </c>
      <c r="U257" t="inlineStr">
        <is>
          <t>L</t>
        </is>
      </c>
      <c r="V257" s="5">
        <f>IF(NOT(ISNUMBER(Q257)),"",IF(U257="W",IF(ISNUMBER(S257),S257-Q257,IF(ISNUMBER(P257),Q257*(P257-1),"")),IF(U257="L",-Q257,IF(U257="Push",0,""))))</f>
        <v/>
      </c>
      <c r="W257">
        <f>IF(NOT(ISNUMBER(R257)),"",IF(U257="W",IF(ISNUMBER(P257),R257*(P257-1),""),IF(U257="L",-R257,IF(U257="Push",0,""))))</f>
        <v/>
      </c>
      <c r="X257" t="inlineStr">
        <is>
          <t>graded from final</t>
        </is>
      </c>
      <c r="Y257" t="inlineStr">
        <is>
          <t>N</t>
        </is>
      </c>
      <c r="Z257" t="inlineStr">
        <is>
          <t>https://x.com/BookitWithTrent/status/2098833752537420119</t>
        </is>
      </c>
      <c r="AA257" t="inlineStr">
        <is>
          <t>OSU/UT 2-pick Mortal Mega Max, collab w/ @laurencowling; Final: Cam Coleman 49 rec yds; Decimal odds derived from payout/stake</t>
        </is>
      </c>
      <c r="AB257" t="inlineStr">
        <is>
          <t>Parlay/multi-leg</t>
        </is>
      </c>
      <c r="AC257" s="5">
        <f>IF(ISNUMBER(V257),Q257,"")</f>
        <v/>
      </c>
      <c r="AD257">
        <f>IF(ISNUMBER(W257),R257,"")</f>
        <v/>
      </c>
    </row>
    <row r="258">
      <c r="A258" t="inlineStr">
        <is>
          <t>S-013642</t>
        </is>
      </c>
      <c r="B258" t="inlineStr">
        <is>
          <t>Steve</t>
        </is>
      </c>
      <c r="C258" s="2" t="n">
        <v>46277.54931712963</v>
      </c>
      <c r="D258">
        <f>IF(C258="","",TEXT(C258,"dddd"))</f>
        <v/>
      </c>
      <c r="E258" s="3" t="n">
        <v>46277</v>
      </c>
      <c r="F258">
        <f>IF(E258="","",TEXT(E258,"dddd"))</f>
        <v/>
      </c>
      <c r="G258" t="inlineStr">
        <is>
          <t>2:20 PM</t>
        </is>
      </c>
      <c r="H258" t="inlineStr">
        <is>
          <t>N</t>
        </is>
      </c>
      <c r="I258" t="inlineStr"/>
      <c r="J258" t="inlineStr">
        <is>
          <t>MLB</t>
        </is>
      </c>
      <c r="K258" t="inlineStr">
        <is>
          <t>MLB</t>
        </is>
      </c>
      <c r="L258" t="inlineStr">
        <is>
          <t>total</t>
        </is>
      </c>
      <c r="M258" t="inlineStr">
        <is>
          <t>Cubs vs Pirates F5 Under 5</t>
        </is>
      </c>
      <c r="N258" t="n">
        <v>1</v>
      </c>
      <c r="O258" t="inlineStr">
        <is>
          <t>-122</t>
        </is>
      </c>
      <c r="P258" s="4" t="n">
        <v>1.8197</v>
      </c>
      <c r="Q258" s="5" t="n">
        <v>75000</v>
      </c>
      <c r="R258" t="inlineStr"/>
      <c r="S258" s="5" t="n">
        <v>136500</v>
      </c>
      <c r="T258" t="inlineStr">
        <is>
          <t>Gamdom</t>
        </is>
      </c>
      <c r="U258" t="inlineStr">
        <is>
          <t>W</t>
        </is>
      </c>
      <c r="V258" s="5">
        <f>IF(NOT(ISNUMBER(Q258)),"",IF(U258="W",IF(ISNUMBER(S258),S258-Q258,IF(ISNUMBER(P258),Q258*(P258-1),"")),IF(U258="L",-Q258,IF(U258="Push",0,""))))</f>
        <v/>
      </c>
      <c r="W258">
        <f>IF(NOT(ISNUMBER(R258)),"",IF(U258="W",IF(ISNUMBER(P258),R258*(P258-1),""),IF(U258="L",-R258,IF(U258="Push",0,""))))</f>
        <v/>
      </c>
      <c r="X258" t="inlineStr">
        <is>
          <t>graded from final</t>
        </is>
      </c>
      <c r="Y258" t="inlineStr">
        <is>
          <t>Y - tags Gamdom</t>
        </is>
      </c>
      <c r="Z258" t="inlineStr">
        <is>
          <t>https://x.com/stevewilldoit/status/2098836796478013642</t>
        </is>
      </c>
      <c r="AA258" t="inlineStr">
        <is>
          <t>AI guy bet 1</t>
        </is>
      </c>
      <c r="AB258" t="inlineStr">
        <is>
          <t>Single</t>
        </is>
      </c>
      <c r="AC258" s="5">
        <f>IF(ISNUMBER(V258),Q258,"")</f>
        <v/>
      </c>
      <c r="AD258">
        <f>IF(ISNUMBER(W258),R258,"")</f>
        <v/>
      </c>
    </row>
    <row r="259">
      <c r="A259" t="inlineStr">
        <is>
          <t>S-891535</t>
        </is>
      </c>
      <c r="B259" t="inlineStr">
        <is>
          <t>Steve</t>
        </is>
      </c>
      <c r="C259" s="2" t="n">
        <v>46277.5640162037</v>
      </c>
      <c r="D259">
        <f>IF(C259="","",TEXT(C259,"dddd"))</f>
        <v/>
      </c>
      <c r="E259" s="3" t="n">
        <v>46277</v>
      </c>
      <c r="F259">
        <f>IF(E259="","",TEXT(E259,"dddd"))</f>
        <v/>
      </c>
      <c r="G259" t="inlineStr">
        <is>
          <t>8:10 PM</t>
        </is>
      </c>
      <c r="H259" t="inlineStr">
        <is>
          <t>N</t>
        </is>
      </c>
      <c r="I259" t="inlineStr"/>
      <c r="J259" t="inlineStr">
        <is>
          <t>MLB</t>
        </is>
      </c>
      <c r="K259" t="inlineStr">
        <is>
          <t>MLB</t>
        </is>
      </c>
      <c r="L259" t="inlineStr">
        <is>
          <t>spread</t>
        </is>
      </c>
      <c r="M259" t="inlineStr">
        <is>
          <t>Arizona Diamondbacks F5 handicap (0) vs Texas Rangers</t>
        </is>
      </c>
      <c r="N259" t="n">
        <v>1</v>
      </c>
      <c r="O259" t="inlineStr">
        <is>
          <t>-139</t>
        </is>
      </c>
      <c r="P259" s="4" t="n">
        <v>1.7194</v>
      </c>
      <c r="Q259" s="5" t="n">
        <v>75000</v>
      </c>
      <c r="R259" t="inlineStr"/>
      <c r="S259" s="5" t="n">
        <v>129000</v>
      </c>
      <c r="T259" t="inlineStr">
        <is>
          <t>Gamdom</t>
        </is>
      </c>
      <c r="U259" t="inlineStr">
        <is>
          <t>L</t>
        </is>
      </c>
      <c r="V259" s="5">
        <f>IF(NOT(ISNUMBER(Q259)),"",IF(U259="W",IF(ISNUMBER(S259),S259-Q259,IF(ISNUMBER(P259),Q259*(P259-1),"")),IF(U259="L",-Q259,IF(U259="Push",0,""))))</f>
        <v/>
      </c>
      <c r="W259">
        <f>IF(NOT(ISNUMBER(R259)),"",IF(U259="W",IF(ISNUMBER(P259),R259*(P259-1),""),IF(U259="L",-R259,IF(U259="Push",0,""))))</f>
        <v/>
      </c>
      <c r="X259" t="inlineStr">
        <is>
          <t>graded from final</t>
        </is>
      </c>
      <c r="Y259" t="inlineStr">
        <is>
          <t>Y - tags Gamdom</t>
        </is>
      </c>
      <c r="Z259" t="inlineStr">
        <is>
          <t>https://x.com/stevewilldoit/status/2098842124426891535</t>
        </is>
      </c>
      <c r="AA259" t="inlineStr">
        <is>
          <t>AI guy bet 2</t>
        </is>
      </c>
      <c r="AB259" t="inlineStr">
        <is>
          <t>Single</t>
        </is>
      </c>
      <c r="AC259" s="5">
        <f>IF(ISNUMBER(V259),Q259,"")</f>
        <v/>
      </c>
      <c r="AD259">
        <f>IF(ISNUMBER(W259),R259,"")</f>
        <v/>
      </c>
    </row>
    <row r="260">
      <c r="A260" t="inlineStr">
        <is>
          <t>S-927710</t>
        </is>
      </c>
      <c r="B260" t="inlineStr">
        <is>
          <t>Steve</t>
        </is>
      </c>
      <c r="C260" s="2" t="n">
        <v>46277.56614583333</v>
      </c>
      <c r="D260">
        <f>IF(C260="","",TEXT(C260,"dddd"))</f>
        <v/>
      </c>
      <c r="E260" s="3" t="n">
        <v>46277</v>
      </c>
      <c r="F260">
        <f>IF(E260="","",TEXT(E260,"dddd"))</f>
        <v/>
      </c>
      <c r="G260" t="inlineStr">
        <is>
          <t>3:30 PM</t>
        </is>
      </c>
      <c r="H260" t="inlineStr">
        <is>
          <t>N</t>
        </is>
      </c>
      <c r="I260" t="inlineStr"/>
      <c r="J260" t="inlineStr">
        <is>
          <t>CFB</t>
        </is>
      </c>
      <c r="K260" t="inlineStr">
        <is>
          <t>CFB</t>
        </is>
      </c>
      <c r="L260" t="inlineStr">
        <is>
          <t>spread</t>
        </is>
      </c>
      <c r="M260" t="inlineStr">
        <is>
          <t>Duke +7.5 vs Illinois</t>
        </is>
      </c>
      <c r="N260" t="n">
        <v>1</v>
      </c>
      <c r="O260" t="inlineStr">
        <is>
          <t>-139</t>
        </is>
      </c>
      <c r="P260" s="4" t="n">
        <v>1.7194</v>
      </c>
      <c r="Q260" s="5" t="n">
        <v>70000</v>
      </c>
      <c r="R260" t="inlineStr"/>
      <c r="S260" s="5" t="n">
        <v>120400</v>
      </c>
      <c r="T260" t="inlineStr">
        <is>
          <t>Gamdom</t>
        </is>
      </c>
      <c r="U260" t="inlineStr">
        <is>
          <t>W</t>
        </is>
      </c>
      <c r="V260" s="5">
        <f>IF(NOT(ISNUMBER(Q260)),"",IF(U260="W",IF(ISNUMBER(S260),S260-Q260,IF(ISNUMBER(P260),Q260*(P260-1),"")),IF(U260="L",-Q260,IF(U260="Push",0,""))))</f>
        <v/>
      </c>
      <c r="W260">
        <f>IF(NOT(ISNUMBER(R260)),"",IF(U260="W",IF(ISNUMBER(P260),R260*(P260-1),""),IF(U260="L",-R260,IF(U260="Push",0,""))))</f>
        <v/>
      </c>
      <c r="X260" t="inlineStr">
        <is>
          <t>graded from final</t>
        </is>
      </c>
      <c r="Y260" t="inlineStr">
        <is>
          <t>Y - tags Gamdom, promo/giveaway language</t>
        </is>
      </c>
      <c r="Z260" t="inlineStr">
        <is>
          <t>https://x.com/stevewilldoit/status/2098842895037927710</t>
        </is>
      </c>
      <c r="AA260" t="inlineStr">
        <is>
          <t>AI guy bet 3</t>
        </is>
      </c>
      <c r="AB260" t="inlineStr">
        <is>
          <t>Single</t>
        </is>
      </c>
      <c r="AC260" s="5">
        <f>IF(ISNUMBER(V260),Q260,"")</f>
        <v/>
      </c>
      <c r="AD260">
        <f>IF(ISNUMBER(W260),R260,"")</f>
        <v/>
      </c>
    </row>
    <row r="261">
      <c r="A261" t="inlineStr">
        <is>
          <t>S-435185</t>
        </is>
      </c>
      <c r="B261" t="inlineStr">
        <is>
          <t>Steve</t>
        </is>
      </c>
      <c r="C261" s="2" t="n">
        <v>46277.57179398148</v>
      </c>
      <c r="D261">
        <f>IF(C261="","",TEXT(C261,"dddd"))</f>
        <v/>
      </c>
      <c r="E261" s="3" t="n">
        <v>46277</v>
      </c>
      <c r="F261">
        <f>IF(E261="","",TEXT(E261,"dddd"))</f>
        <v/>
      </c>
      <c r="G261" t="inlineStr">
        <is>
          <t>not matched</t>
        </is>
      </c>
      <c r="H261" t="inlineStr">
        <is>
          <t>N</t>
        </is>
      </c>
      <c r="I261" t="inlineStr"/>
      <c r="J261" t="inlineStr">
        <is>
          <t>Other</t>
        </is>
      </c>
      <c r="K261" t="inlineStr">
        <is>
          <t>Multi-sport (CFB/MLB)</t>
        </is>
      </c>
      <c r="L261" t="inlineStr">
        <is>
          <t>parlay</t>
        </is>
      </c>
      <c r="M261" t="inlineStr">
        <is>
          <t>Texas State ML vs UTSA; Arizona Diamondbacks F5 (0) vs Rangers; (combo odds 5.30 imply a leg not visible)</t>
        </is>
      </c>
      <c r="N261" t="inlineStr">
        <is>
          <t>2+</t>
        </is>
      </c>
      <c r="O261" t="inlineStr">
        <is>
          <t>+430</t>
        </is>
      </c>
      <c r="P261" s="4" t="n">
        <v>5.3</v>
      </c>
      <c r="Q261" s="5" t="n">
        <v>8000</v>
      </c>
      <c r="R261" t="inlineStr"/>
      <c r="S261" s="5" t="n">
        <v>42400</v>
      </c>
      <c r="T261" t="inlineStr">
        <is>
          <t>Gamdom</t>
        </is>
      </c>
      <c r="U261" t="inlineStr">
        <is>
          <t>L</t>
        </is>
      </c>
      <c r="V261" s="5">
        <f>IF(NOT(ISNUMBER(Q261)),"",IF(U261="W",IF(ISNUMBER(S261),S261-Q261,IF(ISNUMBER(P261),Q261*(P261-1),"")),IF(U261="L",-Q261,IF(U261="Push",0,""))))</f>
        <v/>
      </c>
      <c r="W261">
        <f>IF(NOT(ISNUMBER(R261)),"",IF(U261="W",IF(ISNUMBER(P261),R261*(P261-1),""),IF(U261="L",-R261,IF(U261="Push",0,""))))</f>
        <v/>
      </c>
      <c r="X261" t="inlineStr">
        <is>
          <t>graded from final</t>
        </is>
      </c>
      <c r="Y261" t="inlineStr">
        <is>
          <t>Y - tags Gamdom</t>
        </is>
      </c>
      <c r="Z261" t="inlineStr">
        <is>
          <t>https://x.com/stevewilldoit/status/2098844941019435185</t>
        </is>
      </c>
      <c r="AA261" t="inlineStr">
        <is>
          <t>AI guy "last bet for now"; Final: Texas State lost to UTSA; Diamondbacks trailed after 5</t>
        </is>
      </c>
      <c r="AB261" t="inlineStr">
        <is>
          <t>Parlay/multi-leg</t>
        </is>
      </c>
      <c r="AC261" s="5">
        <f>IF(ISNUMBER(V261),Q261,"")</f>
        <v/>
      </c>
      <c r="AD261">
        <f>IF(ISNUMBER(W261),R261,"")</f>
        <v/>
      </c>
    </row>
    <row r="262">
      <c r="A262" t="inlineStr">
        <is>
          <t>S-541611</t>
        </is>
      </c>
      <c r="B262" t="inlineStr">
        <is>
          <t>Steve</t>
        </is>
      </c>
      <c r="C262" s="2" t="n">
        <v>46277.70725694444</v>
      </c>
      <c r="D262">
        <f>IF(C262="","",TEXT(C262,"dddd"))</f>
        <v/>
      </c>
      <c r="E262" s="3" t="n">
        <v>46277</v>
      </c>
      <c r="F262">
        <f>IF(E262="","",TEXT(E262,"dddd"))</f>
        <v/>
      </c>
      <c r="G262" t="inlineStr">
        <is>
          <t>not matched</t>
        </is>
      </c>
      <c r="H262" t="inlineStr">
        <is>
          <t>N</t>
        </is>
      </c>
      <c r="I262" t="inlineStr"/>
      <c r="J262" t="inlineStr">
        <is>
          <t>UFC/MMA</t>
        </is>
      </c>
      <c r="K262" t="inlineStr">
        <is>
          <t>Noche UFC (Silva vs Delgado)</t>
        </is>
      </c>
      <c r="L262" t="inlineStr">
        <is>
          <t>ML</t>
        </is>
      </c>
      <c r="M262" t="inlineStr">
        <is>
          <t>Tommy McMillen ML vs Marwan Rahiki</t>
        </is>
      </c>
      <c r="N262" t="n">
        <v>1</v>
      </c>
      <c r="O262" t="inlineStr">
        <is>
          <t>-167</t>
        </is>
      </c>
      <c r="P262" s="4" t="n">
        <v>1.5988</v>
      </c>
      <c r="Q262" s="5" t="n">
        <v>500000</v>
      </c>
      <c r="R262" t="inlineStr"/>
      <c r="S262" s="5" t="n">
        <v>800000</v>
      </c>
      <c r="T262" t="inlineStr">
        <is>
          <t>Gamdom</t>
        </is>
      </c>
      <c r="U262" t="inlineStr">
        <is>
          <t>W</t>
        </is>
      </c>
      <c r="V262" s="5">
        <f>IF(NOT(ISNUMBER(Q262)),"",IF(U262="W",IF(ISNUMBER(S262),S262-Q262,IF(ISNUMBER(P262),Q262*(P262-1),"")),IF(U262="L",-Q262,IF(U262="Push",0,""))))</f>
        <v/>
      </c>
      <c r="W262">
        <f>IF(NOT(ISNUMBER(R262)),"",IF(U262="W",IF(ISNUMBER(P262),R262*(P262-1),""),IF(U262="L",-R262,IF(U262="Push",0,""))))</f>
        <v/>
      </c>
      <c r="X262" t="inlineStr">
        <is>
          <t>graded from final</t>
        </is>
      </c>
      <c r="Y262" t="inlineStr">
        <is>
          <t>Y - tags Gamdom</t>
        </is>
      </c>
      <c r="Z262" t="inlineStr">
        <is>
          <t>https://x.com/stevewilldoit/status/2098894031501541611</t>
        </is>
      </c>
      <c r="AA262" t="inlineStr">
        <is>
          <t>"THE BIGGEST LOCK EVER"; McMillen won by UD; Game date assumed = post date (CT)</t>
        </is>
      </c>
      <c r="AB262" t="inlineStr">
        <is>
          <t>Single</t>
        </is>
      </c>
      <c r="AC262" s="5">
        <f>IF(ISNUMBER(V262),Q262,"")</f>
        <v/>
      </c>
      <c r="AD262">
        <f>IF(ISNUMBER(W262),R262,"")</f>
        <v/>
      </c>
    </row>
    <row r="263">
      <c r="A263" t="inlineStr">
        <is>
          <t>S-541611b</t>
        </is>
      </c>
      <c r="B263" t="inlineStr">
        <is>
          <t>Steve</t>
        </is>
      </c>
      <c r="C263" s="2" t="n">
        <v>46277.70725694444</v>
      </c>
      <c r="D263">
        <f>IF(C263="","",TEXT(C263,"dddd"))</f>
        <v/>
      </c>
      <c r="E263" s="3" t="n">
        <v>46277</v>
      </c>
      <c r="F263">
        <f>IF(E263="","",TEXT(E263,"dddd"))</f>
        <v/>
      </c>
      <c r="G263" t="inlineStr">
        <is>
          <t>not matched</t>
        </is>
      </c>
      <c r="H263" t="inlineStr">
        <is>
          <t>N</t>
        </is>
      </c>
      <c r="I263" t="inlineStr"/>
      <c r="J263" t="inlineStr">
        <is>
          <t>UFC/MMA</t>
        </is>
      </c>
      <c r="K263" t="inlineStr">
        <is>
          <t>Noche UFC (Silva vs Delgado)</t>
        </is>
      </c>
      <c r="L263" t="inlineStr">
        <is>
          <t>prop</t>
        </is>
      </c>
      <c r="M263" t="inlineStr">
        <is>
          <t>Tommy McMillen by KO</t>
        </is>
      </c>
      <c r="N263" t="n">
        <v>1</v>
      </c>
      <c r="O263" t="inlineStr">
        <is>
          <t>+300</t>
        </is>
      </c>
      <c r="P263" s="4" t="n">
        <v>4</v>
      </c>
      <c r="Q263" s="5" t="n">
        <v>50000</v>
      </c>
      <c r="R263" t="inlineStr"/>
      <c r="S263" s="5" t="n">
        <v>200000</v>
      </c>
      <c r="T263" t="inlineStr">
        <is>
          <t>Gamdom</t>
        </is>
      </c>
      <c r="U263" t="inlineStr">
        <is>
          <t>L</t>
        </is>
      </c>
      <c r="V263" s="5">
        <f>IF(NOT(ISNUMBER(Q263)),"",IF(U263="W",IF(ISNUMBER(S263),S263-Q263,IF(ISNUMBER(P263),Q263*(P263-1),"")),IF(U263="L",-Q263,IF(U263="Push",0,""))))</f>
        <v/>
      </c>
      <c r="W263">
        <f>IF(NOT(ISNUMBER(R263)),"",IF(U263="W",IF(ISNUMBER(P263),R263*(P263-1),""),IF(U263="L",-R263,IF(U263="Push",0,""))))</f>
        <v/>
      </c>
      <c r="X263" t="inlineStr">
        <is>
          <t>graded from final</t>
        </is>
      </c>
      <c r="Y263" t="inlineStr">
        <is>
          <t>Y - tags Gamdom</t>
        </is>
      </c>
      <c r="Z263" t="inlineStr">
        <is>
          <t>https://x.com/stevewilldoit/status/2098894031501541611</t>
        </is>
      </c>
      <c r="AA263" t="inlineStr">
        <is>
          <t>Fight went to a decision; Game date assumed = post date (CT)</t>
        </is>
      </c>
      <c r="AB263" t="inlineStr">
        <is>
          <t>Single</t>
        </is>
      </c>
      <c r="AC263" s="5">
        <f>IF(ISNUMBER(V263),Q263,"")</f>
        <v/>
      </c>
      <c r="AD263">
        <f>IF(ISNUMBER(W263),R263,"")</f>
        <v/>
      </c>
    </row>
    <row r="264">
      <c r="A264" t="inlineStr">
        <is>
          <t>T-368521</t>
        </is>
      </c>
      <c r="B264" t="inlineStr">
        <is>
          <t>Trent</t>
        </is>
      </c>
      <c r="C264" s="2" t="n">
        <v>46278.44459490741</v>
      </c>
      <c r="D264">
        <f>IF(C264="","",TEXT(C264,"dddd"))</f>
        <v/>
      </c>
      <c r="E264" s="3" t="n">
        <v>46278</v>
      </c>
      <c r="F264">
        <f>IF(E264="","",TEXT(E264,"dddd"))</f>
        <v/>
      </c>
      <c r="G264" t="inlineStr">
        <is>
          <t>8:20 PM</t>
        </is>
      </c>
      <c r="H264" t="inlineStr">
        <is>
          <t>N</t>
        </is>
      </c>
      <c r="I264" t="inlineStr"/>
      <c r="J264" t="inlineStr">
        <is>
          <t>NFL</t>
        </is>
      </c>
      <c r="K264" t="inlineStr">
        <is>
          <t>NFL</t>
        </is>
      </c>
      <c r="L264" t="inlineStr">
        <is>
          <t>parlay</t>
        </is>
      </c>
      <c r="M264" t="inlineStr">
        <is>
          <t>Bears ML; Jaguars ML; Steelers ML; Vikings ML; Chargers ML; Cowboys ML</t>
        </is>
      </c>
      <c r="N264" t="n">
        <v>6</v>
      </c>
      <c r="O264" t="inlineStr">
        <is>
          <t>not shown</t>
        </is>
      </c>
      <c r="P264" s="4" t="inlineStr"/>
      <c r="Q264" s="5" t="inlineStr"/>
      <c r="R264" t="inlineStr"/>
      <c r="S264" s="5" t="inlineStr">
        <is>
          <t>not shown</t>
        </is>
      </c>
      <c r="T264" t="inlineStr">
        <is>
          <t>not shown</t>
        </is>
      </c>
      <c r="U264" t="inlineStr">
        <is>
          <t>L</t>
        </is>
      </c>
      <c r="V264" s="5">
        <f>IF(NOT(ISNUMBER(Q264)),"",IF(U264="W",IF(ISNUMBER(S264),S264-Q264,IF(ISNUMBER(P264),Q264*(P264-1),"")),IF(U264="L",-Q264,IF(U264="Push",0,""))))</f>
        <v/>
      </c>
      <c r="W264">
        <f>IF(NOT(ISNUMBER(R264)),"",IF(U264="W",IF(ISNUMBER(P264),R264*(P264-1),""),IF(U264="L",-R264,IF(U264="Push",0,""))))</f>
        <v/>
      </c>
      <c r="X264" t="inlineStr">
        <is>
          <t>posted</t>
        </is>
      </c>
      <c r="Y264" t="inlineStr">
        <is>
          <t>N</t>
        </is>
      </c>
      <c r="Z264" t="inlineStr">
        <is>
          <t>https://x.com/BookitWithTrent/status/2099161234461368521</t>
        </is>
      </c>
      <c r="AA264" t="inlineStr">
        <is>
          <t>"The Surgical Six"; stake not shown; "It's always 1 leg man" (his graphic marks Vikings ✗ and Chargers ✓, but the finals were MIN 39-22 W and LAC 14-26 L)</t>
        </is>
      </c>
      <c r="AB264" t="inlineStr">
        <is>
          <t>Parlay/multi-leg</t>
        </is>
      </c>
      <c r="AC264" s="5">
        <f>IF(ISNUMBER(V264),Q264,"")</f>
        <v/>
      </c>
      <c r="AD264">
        <f>IF(ISNUMBER(W264),R264,"")</f>
        <v/>
      </c>
    </row>
    <row r="265">
      <c r="A265" t="inlineStr">
        <is>
          <t>S-641623</t>
        </is>
      </c>
      <c r="B265" t="inlineStr">
        <is>
          <t>Steve</t>
        </is>
      </c>
      <c r="C265" s="2" t="n">
        <v>46278.44460648148</v>
      </c>
      <c r="D265">
        <f>IF(C265="","",TEXT(C265,"dddd"))</f>
        <v/>
      </c>
      <c r="E265" s="3" t="n">
        <v>46278</v>
      </c>
      <c r="F265">
        <f>IF(E265="","",TEXT(E265,"dddd"))</f>
        <v/>
      </c>
      <c r="G265" t="inlineStr">
        <is>
          <t>4:25 PM</t>
        </is>
      </c>
      <c r="H265" t="inlineStr">
        <is>
          <t>N</t>
        </is>
      </c>
      <c r="I265" t="inlineStr"/>
      <c r="J265" t="inlineStr">
        <is>
          <t>NFL</t>
        </is>
      </c>
      <c r="K265" t="inlineStr">
        <is>
          <t>NFL</t>
        </is>
      </c>
      <c r="L265" t="inlineStr">
        <is>
          <t>parlay</t>
        </is>
      </c>
      <c r="M265" t="inlineStr">
        <is>
          <t>Indianapolis Colts +3.5 vs Ravens; Minnesota Vikings ML vs Packers</t>
        </is>
      </c>
      <c r="N265" t="n">
        <v>2</v>
      </c>
      <c r="O265" t="inlineStr">
        <is>
          <t>+228</t>
        </is>
      </c>
      <c r="P265" s="4" t="n">
        <v>3.28</v>
      </c>
      <c r="Q265" s="5" t="n">
        <v>75000</v>
      </c>
      <c r="R265" t="inlineStr"/>
      <c r="S265" s="5" t="n">
        <v>246000</v>
      </c>
      <c r="T265" t="inlineStr">
        <is>
          <t>Gamdom</t>
        </is>
      </c>
      <c r="U265" t="inlineStr">
        <is>
          <t>L</t>
        </is>
      </c>
      <c r="V265" s="5">
        <f>IF(NOT(ISNUMBER(Q265)),"",IF(U265="W",IF(ISNUMBER(S265),S265-Q265,IF(ISNUMBER(P265),Q265*(P265-1),"")),IF(U265="L",-Q265,IF(U265="Push",0,""))))</f>
        <v/>
      </c>
      <c r="W265">
        <f>IF(NOT(ISNUMBER(R265)),"",IF(U265="W",IF(ISNUMBER(P265),R265*(P265-1),""),IF(U265="L",-R265,IF(U265="Push",0,""))))</f>
        <v/>
      </c>
      <c r="X265" t="inlineStr">
        <is>
          <t>graded from final</t>
        </is>
      </c>
      <c r="Y265" t="inlineStr">
        <is>
          <t>Y - tags Gamdom</t>
        </is>
      </c>
      <c r="Z265" t="inlineStr">
        <is>
          <t>https://x.com/stevewilldoit/status/2099161238353641623</t>
        </is>
      </c>
      <c r="AA265" t="inlineStr">
        <is>
          <t>AI guy NFL parlay</t>
        </is>
      </c>
      <c r="AB265" t="inlineStr">
        <is>
          <t>Parlay/multi-leg</t>
        </is>
      </c>
      <c r="AC265" s="5">
        <f>IF(ISNUMBER(V265),Q265,"")</f>
        <v/>
      </c>
      <c r="AD265">
        <f>IF(ISNUMBER(W265),R265,"")</f>
        <v/>
      </c>
    </row>
    <row r="266">
      <c r="A266" t="inlineStr">
        <is>
          <t>T-830389</t>
        </is>
      </c>
      <c r="B266" t="inlineStr">
        <is>
          <t>Trent</t>
        </is>
      </c>
      <c r="C266" s="2" t="n">
        <v>46278.47056712963</v>
      </c>
      <c r="D266">
        <f>IF(C266="","",TEXT(C266,"dddd"))</f>
        <v/>
      </c>
      <c r="E266" s="3" t="n">
        <v>46278</v>
      </c>
      <c r="F266">
        <f>IF(E266="","",TEXT(E266,"dddd"))</f>
        <v/>
      </c>
      <c r="G266" t="inlineStr">
        <is>
          <t>not matched</t>
        </is>
      </c>
      <c r="H266" t="inlineStr">
        <is>
          <t>Unknown</t>
        </is>
      </c>
      <c r="I266" t="inlineStr">
        <is>
          <t>kickoff not matched</t>
        </is>
      </c>
      <c r="J266" t="inlineStr">
        <is>
          <t>NFL</t>
        </is>
      </c>
      <c r="K266" t="inlineStr">
        <is>
          <t>NFL</t>
        </is>
      </c>
      <c r="L266" t="inlineStr">
        <is>
          <t>PrizePicks/DFS</t>
        </is>
      </c>
      <c r="M266" t="inlineStr">
        <is>
          <t>Joe Burrow o269.5 pass yds; Amon-Ra St. Brown o78.5 rec yds; Colston Loveland o4.5 receptions; Josh Allen o31.5 rush yds</t>
        </is>
      </c>
      <c r="N266" t="n">
        <v>4</v>
      </c>
      <c r="O266" t="inlineStr">
        <is>
          <t>not shown</t>
        </is>
      </c>
      <c r="P266" s="4" t="n">
        <v>10</v>
      </c>
      <c r="Q266" s="5" t="n">
        <v>1000</v>
      </c>
      <c r="R266" t="inlineStr"/>
      <c r="S266" s="5" t="n">
        <v>10000</v>
      </c>
      <c r="T266" t="inlineStr">
        <is>
          <t>PrizePicks</t>
        </is>
      </c>
      <c r="U266" t="inlineStr">
        <is>
          <t>L</t>
        </is>
      </c>
      <c r="V266" s="5">
        <f>IF(NOT(ISNUMBER(Q266)),"",IF(U266="W",IF(ISNUMBER(S266),S266-Q266,IF(ISNUMBER(P266),Q266*(P266-1),"")),IF(U266="L",-Q266,IF(U266="Push",0,""))))</f>
        <v/>
      </c>
      <c r="W266">
        <f>IF(NOT(ISNUMBER(R266)),"",IF(U266="W",IF(ISNUMBER(P266),R266*(P266-1),""),IF(U266="L",-R266,IF(U266="Push",0,""))))</f>
        <v/>
      </c>
      <c r="X266" t="inlineStr">
        <is>
          <t>graded from final</t>
        </is>
      </c>
      <c r="Y266" t="inlineStr">
        <is>
          <t>N</t>
        </is>
      </c>
      <c r="Z266" t="inlineStr">
        <is>
          <t>https://x.com/BookitWithTrent/status/2099170648429830389</t>
        </is>
      </c>
      <c r="AA266" t="inlineStr">
        <is>
          <t>"made this at 4am"; Final: Burrow 254 pass yds; Decimal odds derived from payout/stake</t>
        </is>
      </c>
      <c r="AB266" t="inlineStr">
        <is>
          <t>Parlay/multi-leg</t>
        </is>
      </c>
      <c r="AC266" s="5">
        <f>IF(ISNUMBER(V266),Q266,"")</f>
        <v/>
      </c>
      <c r="AD266">
        <f>IF(ISNUMBER(W266),R266,"")</f>
        <v/>
      </c>
    </row>
    <row r="267">
      <c r="A267" t="inlineStr">
        <is>
          <t>T-950681</t>
        </is>
      </c>
      <c r="B267" t="inlineStr">
        <is>
          <t>Trent</t>
        </is>
      </c>
      <c r="C267" s="2" t="n">
        <v>46278.47335648148</v>
      </c>
      <c r="D267">
        <f>IF(C267="","",TEXT(C267,"dddd"))</f>
        <v/>
      </c>
      <c r="E267" s="3" t="n">
        <v>46278</v>
      </c>
      <c r="F267">
        <f>IF(E267="","",TEXT(E267,"dddd"))</f>
        <v/>
      </c>
      <c r="G267" t="inlineStr">
        <is>
          <t>1:00 PM</t>
        </is>
      </c>
      <c r="H267" t="inlineStr">
        <is>
          <t>N</t>
        </is>
      </c>
      <c r="I267" t="inlineStr"/>
      <c r="J267" t="inlineStr">
        <is>
          <t>NFL</t>
        </is>
      </c>
      <c r="K267" t="inlineStr">
        <is>
          <t>NFL</t>
        </is>
      </c>
      <c r="L267" t="inlineStr">
        <is>
          <t>spread</t>
        </is>
      </c>
      <c r="M267" t="inlineStr">
        <is>
          <t>Chicago Bears -3 vs Panthers</t>
        </is>
      </c>
      <c r="N267" t="n">
        <v>1</v>
      </c>
      <c r="O267" t="inlineStr">
        <is>
          <t>not shown</t>
        </is>
      </c>
      <c r="P267" s="4" t="inlineStr"/>
      <c r="Q267" s="5" t="inlineStr"/>
      <c r="R267" t="n">
        <v>5</v>
      </c>
      <c r="S267" s="5" t="inlineStr"/>
      <c r="T267" t="inlineStr">
        <is>
          <t>not shown</t>
        </is>
      </c>
      <c r="U267" t="inlineStr">
        <is>
          <t>W</t>
        </is>
      </c>
      <c r="V267" s="5">
        <f>IF(NOT(ISNUMBER(Q267)),"",IF(U267="W",IF(ISNUMBER(S267),S267-Q267,IF(ISNUMBER(P267),Q267*(P267-1),"")),IF(U267="L",-Q267,IF(U267="Push",0,""))))</f>
        <v/>
      </c>
      <c r="W267">
        <f>IF(NOT(ISNUMBER(R267)),"",IF(U267="W",IF(ISNUMBER(P267),R267*(P267-1),""),IF(U267="L",-R267,IF(U267="Push",0,""))))</f>
        <v/>
      </c>
      <c r="X267" t="inlineStr">
        <is>
          <t>posted</t>
        </is>
      </c>
      <c r="Y267" t="inlineStr">
        <is>
          <t>N</t>
        </is>
      </c>
      <c r="Z267" t="inlineStr">
        <is>
          <t>https://x.com/BookitWithTrent/status/2099171655431950681</t>
        </is>
      </c>
      <c r="AA267" t="inlineStr">
        <is>
          <t>"Early Window Mortal Mega" 5u; "HOWSYA MORTAL MEGA✅"</t>
        </is>
      </c>
      <c r="AB267" t="inlineStr">
        <is>
          <t>Single</t>
        </is>
      </c>
      <c r="AC267" s="5">
        <f>IF(ISNUMBER(V267),Q267,"")</f>
        <v/>
      </c>
      <c r="AD267">
        <f>IF(ISNUMBER(W267),R267,"")</f>
        <v/>
      </c>
    </row>
    <row r="268">
      <c r="A268" t="inlineStr">
        <is>
          <t>T-752577</t>
        </is>
      </c>
      <c r="B268" t="inlineStr">
        <is>
          <t>Trent</t>
        </is>
      </c>
      <c r="C268" s="2" t="n">
        <v>46278.62596064815</v>
      </c>
      <c r="D268">
        <f>IF(C268="","",TEXT(C268,"dddd"))</f>
        <v/>
      </c>
      <c r="E268" s="3" t="n">
        <v>46278</v>
      </c>
      <c r="F268">
        <f>IF(E268="","",TEXT(E268,"dddd"))</f>
        <v/>
      </c>
      <c r="G268" t="inlineStr">
        <is>
          <t>not matched</t>
        </is>
      </c>
      <c r="H268" t="inlineStr">
        <is>
          <t>Unknown</t>
        </is>
      </c>
      <c r="I268" t="inlineStr">
        <is>
          <t>kickoff not matched</t>
        </is>
      </c>
      <c r="J268" t="inlineStr">
        <is>
          <t>NFL</t>
        </is>
      </c>
      <c r="K268" t="inlineStr">
        <is>
          <t>NFL</t>
        </is>
      </c>
      <c r="L268" t="inlineStr">
        <is>
          <t>PrizePicks/DFS</t>
        </is>
      </c>
      <c r="M268" t="inlineStr">
        <is>
          <t>Ladd McConkey o57.5 rec yds; Saquon Barkley o76.5 rush yds; Malik Willis o39.5 rush yds; Justin Jefferson o73.5 rec yds</t>
        </is>
      </c>
      <c r="N268" t="n">
        <v>4</v>
      </c>
      <c r="O268" t="inlineStr">
        <is>
          <t>not shown</t>
        </is>
      </c>
      <c r="P268" s="4" t="n">
        <v>10</v>
      </c>
      <c r="Q268" s="5" t="n">
        <v>1000</v>
      </c>
      <c r="R268" t="inlineStr"/>
      <c r="S268" s="5" t="n">
        <v>10000</v>
      </c>
      <c r="T268" t="inlineStr">
        <is>
          <t>PrizePicks</t>
        </is>
      </c>
      <c r="U268" t="inlineStr">
        <is>
          <t>L</t>
        </is>
      </c>
      <c r="V268" s="5">
        <f>IF(NOT(ISNUMBER(Q268)),"",IF(U268="W",IF(ISNUMBER(S268),S268-Q268,IF(ISNUMBER(P268),Q268*(P268-1),"")),IF(U268="L",-Q268,IF(U268="Push",0,""))))</f>
        <v/>
      </c>
      <c r="W268">
        <f>IF(NOT(ISNUMBER(R268)),"",IF(U268="W",IF(ISNUMBER(P268),R268*(P268-1),""),IF(U268="L",-R268,IF(U268="Push",0,""))))</f>
        <v/>
      </c>
      <c r="X268" t="inlineStr">
        <is>
          <t>posted</t>
        </is>
      </c>
      <c r="Y268" t="inlineStr">
        <is>
          <t>N</t>
        </is>
      </c>
      <c r="Z268" t="inlineStr">
        <is>
          <t>https://x.com/BookitWithTrent/status/2099226960991752577</t>
        </is>
      </c>
      <c r="AA268" t="inlineStr">
        <is>
          <t>"3PM 4 man nuke"; Willis finished with 39 ("you're fucking joking man"); Game date assumed = post date (CT); Decimal odds derived from payout/stake</t>
        </is>
      </c>
      <c r="AB268" t="inlineStr">
        <is>
          <t>Parlay/multi-leg</t>
        </is>
      </c>
      <c r="AC268" s="5">
        <f>IF(ISNUMBER(V268),Q268,"")</f>
        <v/>
      </c>
      <c r="AD268">
        <f>IF(ISNUMBER(W268),R268,"")</f>
        <v/>
      </c>
    </row>
    <row r="269">
      <c r="A269" t="inlineStr">
        <is>
          <t>S-946223</t>
        </is>
      </c>
      <c r="B269" t="inlineStr">
        <is>
          <t>Steve</t>
        </is>
      </c>
      <c r="C269" s="2" t="n">
        <v>46278.63565972223</v>
      </c>
      <c r="D269">
        <f>IF(C269="","",TEXT(C269,"dddd"))</f>
        <v/>
      </c>
      <c r="E269" s="3" t="n">
        <v>46278</v>
      </c>
      <c r="F269">
        <f>IF(E269="","",TEXT(E269,"dddd"))</f>
        <v/>
      </c>
      <c r="G269" t="inlineStr">
        <is>
          <t>4:25 PM</t>
        </is>
      </c>
      <c r="H269" t="inlineStr">
        <is>
          <t>N</t>
        </is>
      </c>
      <c r="I269" t="inlineStr"/>
      <c r="J269" t="inlineStr">
        <is>
          <t>NFL</t>
        </is>
      </c>
      <c r="K269" t="inlineStr">
        <is>
          <t>NFL</t>
        </is>
      </c>
      <c r="L269" t="inlineStr">
        <is>
          <t>spread</t>
        </is>
      </c>
      <c r="M269" t="inlineStr">
        <is>
          <t>Los Angeles Chargers -6.5 vs Arizona Cardinals</t>
        </is>
      </c>
      <c r="N269" t="n">
        <v>1</v>
      </c>
      <c r="O269" t="inlineStr">
        <is>
          <t>-169</t>
        </is>
      </c>
      <c r="P269" s="4" t="n">
        <v>1.5917</v>
      </c>
      <c r="Q269" s="5" t="n">
        <v>500000</v>
      </c>
      <c r="R269" t="inlineStr"/>
      <c r="S269" s="5" t="n">
        <v>795000</v>
      </c>
      <c r="T269" t="inlineStr">
        <is>
          <t>Gamdom</t>
        </is>
      </c>
      <c r="U269" t="inlineStr">
        <is>
          <t>L</t>
        </is>
      </c>
      <c r="V269" s="5">
        <f>IF(NOT(ISNUMBER(Q269)),"",IF(U269="W",IF(ISNUMBER(S269),S269-Q269,IF(ISNUMBER(P269),Q269*(P269-1),"")),IF(U269="L",-Q269,IF(U269="Push",0,""))))</f>
        <v/>
      </c>
      <c r="W269">
        <f>IF(NOT(ISNUMBER(R269)),"",IF(U269="W",IF(ISNUMBER(P269),R269*(P269-1),""),IF(U269="L",-R269,IF(U269="Push",0,""))))</f>
        <v/>
      </c>
      <c r="X269" t="inlineStr">
        <is>
          <t>graded from final</t>
        </is>
      </c>
      <c r="Y269" t="inlineStr">
        <is>
          <t>Y - tags Gamdom</t>
        </is>
      </c>
      <c r="Z269" t="inlineStr">
        <is>
          <t>https://x.com/stevewilldoit/status/2099230474077946223</t>
        </is>
      </c>
      <c r="AA269" t="inlineStr">
        <is>
          <t>"$500,000 chargers -6.5... If I lose. I lose this beauty" (watch)</t>
        </is>
      </c>
      <c r="AB269" t="inlineStr">
        <is>
          <t>Single</t>
        </is>
      </c>
      <c r="AC269" s="5">
        <f>IF(ISNUMBER(V269),Q269,"")</f>
        <v/>
      </c>
      <c r="AD269">
        <f>IF(ISNUMBER(W269),R269,"")</f>
        <v/>
      </c>
    </row>
    <row r="270">
      <c r="A270" t="inlineStr">
        <is>
          <t>T-586153</t>
        </is>
      </c>
      <c r="B270" t="inlineStr">
        <is>
          <t>Trent</t>
        </is>
      </c>
      <c r="C270" s="2" t="n">
        <v>46278.74290509259</v>
      </c>
      <c r="D270">
        <f>IF(C270="","",TEXT(C270,"dddd"))</f>
        <v/>
      </c>
      <c r="E270" s="3" t="n">
        <v>46278</v>
      </c>
      <c r="F270">
        <f>IF(E270="","",TEXT(E270,"dddd"))</f>
        <v/>
      </c>
      <c r="G270" t="inlineStr">
        <is>
          <t>8:20 PM</t>
        </is>
      </c>
      <c r="H270" t="inlineStr">
        <is>
          <t>Y</t>
        </is>
      </c>
      <c r="I270" t="inlineStr">
        <is>
          <t>SNF</t>
        </is>
      </c>
      <c r="J270" t="inlineStr">
        <is>
          <t>NFL</t>
        </is>
      </c>
      <c r="K270" t="inlineStr">
        <is>
          <t>NFL</t>
        </is>
      </c>
      <c r="L270" t="inlineStr">
        <is>
          <t>spread</t>
        </is>
      </c>
      <c r="M270" t="inlineStr">
        <is>
          <t>Dallas Cowboys -3 vs Giants (SNF)</t>
        </is>
      </c>
      <c r="N270" t="n">
        <v>1</v>
      </c>
      <c r="O270" t="inlineStr">
        <is>
          <t>not shown</t>
        </is>
      </c>
      <c r="P270" s="4" t="inlineStr"/>
      <c r="Q270" s="5" t="inlineStr"/>
      <c r="R270" t="n">
        <v>4</v>
      </c>
      <c r="S270" s="5" t="inlineStr"/>
      <c r="T270" t="inlineStr">
        <is>
          <t>not shown</t>
        </is>
      </c>
      <c r="U270" t="inlineStr">
        <is>
          <t>L</t>
        </is>
      </c>
      <c r="V270" s="5">
        <f>IF(NOT(ISNUMBER(Q270)),"",IF(U270="W",IF(ISNUMBER(S270),S270-Q270,IF(ISNUMBER(P270),Q270*(P270-1),"")),IF(U270="L",-Q270,IF(U270="Push",0,""))))</f>
        <v/>
      </c>
      <c r="W270">
        <f>IF(NOT(ISNUMBER(R270)),"",IF(U270="W",IF(ISNUMBER(P270),R270*(P270-1),""),IF(U270="L",-R270,IF(U270="Push",0,""))))</f>
        <v/>
      </c>
      <c r="X270" t="inlineStr">
        <is>
          <t>posted</t>
        </is>
      </c>
      <c r="Y270" t="inlineStr">
        <is>
          <t>N</t>
        </is>
      </c>
      <c r="Z270" t="inlineStr">
        <is>
          <t>https://x.com/BookitWithTrent/status/2099269336917586153</t>
        </is>
      </c>
      <c r="AA270" t="inlineStr">
        <is>
          <t>"SNF Mortal Mega Max" 4U; a later recap lists it as Cowboys -4.5</t>
        </is>
      </c>
      <c r="AB270" t="inlineStr">
        <is>
          <t>Single</t>
        </is>
      </c>
      <c r="AC270" s="5">
        <f>IF(ISNUMBER(V270),Q270,"")</f>
        <v/>
      </c>
      <c r="AD270">
        <f>IF(ISNUMBER(W270),R270,"")</f>
        <v/>
      </c>
    </row>
    <row r="271">
      <c r="A271" t="inlineStr">
        <is>
          <t>T-468853</t>
        </is>
      </c>
      <c r="B271" t="inlineStr">
        <is>
          <t>Trent</t>
        </is>
      </c>
      <c r="C271" s="2" t="n">
        <v>46278.75425925926</v>
      </c>
      <c r="D271">
        <f>IF(C271="","",TEXT(C271,"dddd"))</f>
        <v/>
      </c>
      <c r="E271" s="3" t="n">
        <v>46278</v>
      </c>
      <c r="F271">
        <f>IF(E271="","",TEXT(E271,"dddd"))</f>
        <v/>
      </c>
      <c r="G271" t="inlineStr">
        <is>
          <t>not matched</t>
        </is>
      </c>
      <c r="H271" t="inlineStr">
        <is>
          <t>Y</t>
        </is>
      </c>
      <c r="I271" t="inlineStr">
        <is>
          <t>SNF</t>
        </is>
      </c>
      <c r="J271" t="inlineStr">
        <is>
          <t>NFL</t>
        </is>
      </c>
      <c r="K271" t="inlineStr">
        <is>
          <t>NFL</t>
        </is>
      </c>
      <c r="L271" t="inlineStr">
        <is>
          <t>first TD</t>
        </is>
      </c>
      <c r="M271" t="inlineStr">
        <is>
          <t>Jake Ferguson first TD scorer (SNF)</t>
        </is>
      </c>
      <c r="N271" t="n">
        <v>1</v>
      </c>
      <c r="O271" t="inlineStr">
        <is>
          <t>+1500</t>
        </is>
      </c>
      <c r="P271" s="4" t="n">
        <v>16</v>
      </c>
      <c r="Q271" s="5" t="inlineStr"/>
      <c r="R271" t="inlineStr"/>
      <c r="S271" s="5" t="inlineStr"/>
      <c r="T271" t="inlineStr">
        <is>
          <t>not shown</t>
        </is>
      </c>
      <c r="U271" t="inlineStr">
        <is>
          <t>L</t>
        </is>
      </c>
      <c r="V271" s="5">
        <f>IF(NOT(ISNUMBER(Q271)),"",IF(U271="W",IF(ISNUMBER(S271),S271-Q271,IF(ISNUMBER(P271),Q271*(P271-1),"")),IF(U271="L",-Q271,IF(U271="Push",0,""))))</f>
        <v/>
      </c>
      <c r="W271">
        <f>IF(NOT(ISNUMBER(R271)),"",IF(U271="W",IF(ISNUMBER(P271),R271*(P271-1),""),IF(U271="L",-R271,IF(U271="Push",0,""))))</f>
        <v/>
      </c>
      <c r="X271" t="inlineStr">
        <is>
          <t>posted</t>
        </is>
      </c>
      <c r="Y271" t="inlineStr">
        <is>
          <t>N</t>
        </is>
      </c>
      <c r="Z271" t="inlineStr">
        <is>
          <t>https://x.com/BookitWithTrent/status/2099273454717468853</t>
        </is>
      </c>
      <c r="AA271" t="inlineStr">
        <is>
          <t>Record moved to 0-3; Game date assumed = post date (CT)</t>
        </is>
      </c>
      <c r="AB271" t="inlineStr">
        <is>
          <t>Single</t>
        </is>
      </c>
      <c r="AC271" s="5">
        <f>IF(ISNUMBER(V271),Q271,"")</f>
        <v/>
      </c>
      <c r="AD271">
        <f>IF(ISNUMBER(W271),R271,"")</f>
        <v/>
      </c>
    </row>
    <row r="272">
      <c r="A272" t="inlineStr">
        <is>
          <t>T-833272</t>
        </is>
      </c>
      <c r="B272" t="inlineStr">
        <is>
          <t>Trent</t>
        </is>
      </c>
      <c r="C272" s="2" t="n">
        <v>46278.77591435185</v>
      </c>
      <c r="D272">
        <f>IF(C272="","",TEXT(C272,"dddd"))</f>
        <v/>
      </c>
      <c r="E272" s="3" t="n">
        <v>46278</v>
      </c>
      <c r="F272">
        <f>IF(E272="","",TEXT(E272,"dddd"))</f>
        <v/>
      </c>
      <c r="G272" t="inlineStr">
        <is>
          <t>not matched</t>
        </is>
      </c>
      <c r="H272" t="inlineStr">
        <is>
          <t>Y</t>
        </is>
      </c>
      <c r="I272" t="inlineStr">
        <is>
          <t>SNF</t>
        </is>
      </c>
      <c r="J272" t="inlineStr">
        <is>
          <t>NFL</t>
        </is>
      </c>
      <c r="K272" t="inlineStr">
        <is>
          <t>NFL</t>
        </is>
      </c>
      <c r="L272" t="inlineStr">
        <is>
          <t>PrizePicks/DFS</t>
        </is>
      </c>
      <c r="M272" t="inlineStr">
        <is>
          <t>Javonte Williams o2.5 rec targets; George Pickens o67.5 rec yds; Isaiah Likely o39.5 rec yds; Jaxson Dart o32.5 rush yds</t>
        </is>
      </c>
      <c r="N272" t="n">
        <v>4</v>
      </c>
      <c r="O272" t="inlineStr">
        <is>
          <t>not shown</t>
        </is>
      </c>
      <c r="P272" s="4" t="inlineStr"/>
      <c r="Q272" s="5" t="inlineStr"/>
      <c r="R272" t="inlineStr"/>
      <c r="S272" s="5" t="inlineStr"/>
      <c r="T272" t="inlineStr">
        <is>
          <t>PrizePicks</t>
        </is>
      </c>
      <c r="U272" t="inlineStr">
        <is>
          <t>L</t>
        </is>
      </c>
      <c r="V272" s="5">
        <f>IF(NOT(ISNUMBER(Q272)),"",IF(U272="W",IF(ISNUMBER(S272),S272-Q272,IF(ISNUMBER(P272),Q272*(P272-1),"")),IF(U272="L",-Q272,IF(U272="Push",0,""))))</f>
        <v/>
      </c>
      <c r="W272">
        <f>IF(NOT(ISNUMBER(R272)),"",IF(U272="W",IF(ISNUMBER(P272),R272*(P272-1),""),IF(U272="L",-R272,IF(U272="Push",0,""))))</f>
        <v/>
      </c>
      <c r="X272" t="inlineStr">
        <is>
          <t>posted</t>
        </is>
      </c>
      <c r="Y272" t="inlineStr">
        <is>
          <t>N</t>
        </is>
      </c>
      <c r="Z272" t="inlineStr">
        <is>
          <t>https://x.com/BookitWithTrent/status/2099281299617833272</t>
        </is>
      </c>
      <c r="AA272" t="inlineStr">
        <is>
          <t>"SNF Scripture"; Pickens finished with 28 ("fuckin pickensburg"); stake not shown; Game date assumed = post date (CT)</t>
        </is>
      </c>
      <c r="AB272" t="inlineStr">
        <is>
          <t>Parlay/multi-leg</t>
        </is>
      </c>
      <c r="AC272" s="5">
        <f>IF(ISNUMBER(V272),Q272,"")</f>
        <v/>
      </c>
      <c r="AD272">
        <f>IF(ISNUMBER(W272),R272,"")</f>
        <v/>
      </c>
    </row>
    <row r="273">
      <c r="A273" t="inlineStr">
        <is>
          <t>S-857561</t>
        </is>
      </c>
      <c r="B273" t="inlineStr">
        <is>
          <t>Steve</t>
        </is>
      </c>
      <c r="C273" s="2" t="n">
        <v>46278.79407407407</v>
      </c>
      <c r="D273">
        <f>IF(C273="","",TEXT(C273,"dddd"))</f>
        <v/>
      </c>
      <c r="E273" s="3" t="n">
        <v>46278</v>
      </c>
      <c r="F273">
        <f>IF(E273="","",TEXT(E273,"dddd"))</f>
        <v/>
      </c>
      <c r="G273" t="inlineStr">
        <is>
          <t>8:20 PM</t>
        </is>
      </c>
      <c r="H273" t="inlineStr">
        <is>
          <t>Y</t>
        </is>
      </c>
      <c r="I273" t="inlineStr">
        <is>
          <t>SNF</t>
        </is>
      </c>
      <c r="J273" t="inlineStr">
        <is>
          <t>NFL</t>
        </is>
      </c>
      <c r="K273" t="inlineStr">
        <is>
          <t>NFL</t>
        </is>
      </c>
      <c r="L273" t="inlineStr">
        <is>
          <t>ML</t>
        </is>
      </c>
      <c r="M273" t="inlineStr">
        <is>
          <t>New York Giants ML vs Dallas Cowboys</t>
        </is>
      </c>
      <c r="N273" t="n">
        <v>1</v>
      </c>
      <c r="O273" t="inlineStr">
        <is>
          <t>+149</t>
        </is>
      </c>
      <c r="P273" s="4" t="n">
        <v>2.49</v>
      </c>
      <c r="Q273" s="5" t="n">
        <v>100000</v>
      </c>
      <c r="R273" t="inlineStr"/>
      <c r="S273" s="5" t="n">
        <v>249000</v>
      </c>
      <c r="T273" t="inlineStr">
        <is>
          <t>Gamdom</t>
        </is>
      </c>
      <c r="U273" t="inlineStr">
        <is>
          <t>W</t>
        </is>
      </c>
      <c r="V273" s="5">
        <f>IF(NOT(ISNUMBER(Q273)),"",IF(U273="W",IF(ISNUMBER(S273),S273-Q273,IF(ISNUMBER(P273),Q273*(P273-1),"")),IF(U273="L",-Q273,IF(U273="Push",0,""))))</f>
        <v/>
      </c>
      <c r="W273">
        <f>IF(NOT(ISNUMBER(R273)),"",IF(U273="W",IF(ISNUMBER(P273),R273*(P273-1),""),IF(U273="L",-R273,IF(U273="Push",0,""))))</f>
        <v/>
      </c>
      <c r="X273" t="inlineStr">
        <is>
          <t>graded from final</t>
        </is>
      </c>
      <c r="Y273" t="inlineStr">
        <is>
          <t>N</t>
        </is>
      </c>
      <c r="Z273" t="inlineStr">
        <is>
          <t>https://x.com/stevewilldoit/status/2099287879742857561</t>
        </is>
      </c>
      <c r="AA273" t="inlineStr">
        <is>
          <t>6ix9ine pick</t>
        </is>
      </c>
      <c r="AB273" t="inlineStr">
        <is>
          <t>Single</t>
        </is>
      </c>
      <c r="AC273" s="5">
        <f>IF(ISNUMBER(V273),Q273,"")</f>
        <v/>
      </c>
      <c r="AD273">
        <f>IF(ISNUMBER(W273),R273,"")</f>
        <v/>
      </c>
    </row>
    <row r="274">
      <c r="A274" t="inlineStr">
        <is>
          <t>S-318981</t>
        </is>
      </c>
      <c r="B274" t="inlineStr">
        <is>
          <t>Steve</t>
        </is>
      </c>
      <c r="C274" s="2" t="n">
        <v>46279.25325231482</v>
      </c>
      <c r="D274">
        <f>IF(C274="","",TEXT(C274,"dddd"))</f>
        <v/>
      </c>
      <c r="E274" s="3" t="n">
        <v>46279</v>
      </c>
      <c r="F274">
        <f>IF(E274="","",TEXT(E274,"dddd"))</f>
        <v/>
      </c>
      <c r="G274" t="inlineStr">
        <is>
          <t>8:15 PM</t>
        </is>
      </c>
      <c r="H274" t="inlineStr">
        <is>
          <t>Y</t>
        </is>
      </c>
      <c r="I274" t="inlineStr">
        <is>
          <t>MNF</t>
        </is>
      </c>
      <c r="J274" t="inlineStr">
        <is>
          <t>NFL</t>
        </is>
      </c>
      <c r="K274" t="inlineStr">
        <is>
          <t>NFL</t>
        </is>
      </c>
      <c r="L274" t="inlineStr">
        <is>
          <t>ML</t>
        </is>
      </c>
      <c r="M274" t="inlineStr">
        <is>
          <t>Kansas City Chiefs ML vs Denver Broncos</t>
        </is>
      </c>
      <c r="N274" t="n">
        <v>1</v>
      </c>
      <c r="O274" t="inlineStr">
        <is>
          <t>-132</t>
        </is>
      </c>
      <c r="P274" s="4" t="n">
        <v>1.7576</v>
      </c>
      <c r="Q274" s="5" t="n">
        <v>350000</v>
      </c>
      <c r="R274" t="inlineStr"/>
      <c r="S274" s="5" t="n">
        <v>616000</v>
      </c>
      <c r="T274" t="inlineStr">
        <is>
          <t>Gamdom</t>
        </is>
      </c>
      <c r="U274" t="inlineStr">
        <is>
          <t>W</t>
        </is>
      </c>
      <c r="V274" s="5">
        <f>IF(NOT(ISNUMBER(Q274)),"",IF(U274="W",IF(ISNUMBER(S274),S274-Q274,IF(ISNUMBER(P274),Q274*(P274-1),"")),IF(U274="L",-Q274,IF(U274="Push",0,""))))</f>
        <v/>
      </c>
      <c r="W274">
        <f>IF(NOT(ISNUMBER(R274)),"",IF(U274="W",IF(ISNUMBER(P274),R274*(P274-1),""),IF(U274="L",-R274,IF(U274="Push",0,""))))</f>
        <v/>
      </c>
      <c r="X274" t="inlineStr">
        <is>
          <t>graded from final</t>
        </is>
      </c>
      <c r="Y274" t="inlineStr">
        <is>
          <t>Y - tags Gamdom</t>
        </is>
      </c>
      <c r="Z274" t="inlineStr">
        <is>
          <t>https://x.com/stevewilldoit/status/2099454281317318981</t>
        </is>
      </c>
      <c r="AA274" t="inlineStr">
        <is>
          <t>"This is Steve"</t>
        </is>
      </c>
      <c r="AB274" t="inlineStr">
        <is>
          <t>Single</t>
        </is>
      </c>
      <c r="AC274" s="5">
        <f>IF(ISNUMBER(V274),Q274,"")</f>
        <v/>
      </c>
      <c r="AD274">
        <f>IF(ISNUMBER(W274),R274,"")</f>
        <v/>
      </c>
    </row>
    <row r="275">
      <c r="A275" t="inlineStr">
        <is>
          <t>S-021382</t>
        </is>
      </c>
      <c r="B275" t="inlineStr">
        <is>
          <t>Steve</t>
        </is>
      </c>
      <c r="C275" s="2" t="n">
        <v>46279.45407407408</v>
      </c>
      <c r="D275">
        <f>IF(C275="","",TEXT(C275,"dddd"))</f>
        <v/>
      </c>
      <c r="E275" s="3" t="n">
        <v>46279</v>
      </c>
      <c r="F275">
        <f>IF(E275="","",TEXT(E275,"dddd"))</f>
        <v/>
      </c>
      <c r="G275" t="inlineStr">
        <is>
          <t>8:15 PM</t>
        </is>
      </c>
      <c r="H275" t="inlineStr">
        <is>
          <t>Y</t>
        </is>
      </c>
      <c r="I275" t="inlineStr">
        <is>
          <t>MNF</t>
        </is>
      </c>
      <c r="J275" t="inlineStr">
        <is>
          <t>NFL</t>
        </is>
      </c>
      <c r="K275" t="inlineStr">
        <is>
          <t>NFL</t>
        </is>
      </c>
      <c r="L275" t="inlineStr">
        <is>
          <t>ML</t>
        </is>
      </c>
      <c r="M275" t="inlineStr">
        <is>
          <t>Kansas City Chiefs ML vs Denver Broncos (added)</t>
        </is>
      </c>
      <c r="N275" t="n">
        <v>1</v>
      </c>
      <c r="O275" t="inlineStr">
        <is>
          <t>-123</t>
        </is>
      </c>
      <c r="P275" s="4" t="n">
        <v>1.813</v>
      </c>
      <c r="Q275" s="5" t="n">
        <v>150000</v>
      </c>
      <c r="R275" t="inlineStr"/>
      <c r="S275" s="5" t="n">
        <v>271500</v>
      </c>
      <c r="T275" t="inlineStr">
        <is>
          <t>Gamdom</t>
        </is>
      </c>
      <c r="U275" t="inlineStr">
        <is>
          <t>W</t>
        </is>
      </c>
      <c r="V275" s="5">
        <f>IF(NOT(ISNUMBER(Q275)),"",IF(U275="W",IF(ISNUMBER(S275),S275-Q275,IF(ISNUMBER(P275),Q275*(P275-1),"")),IF(U275="L",-Q275,IF(U275="Push",0,""))))</f>
        <v/>
      </c>
      <c r="W275">
        <f>IF(NOT(ISNUMBER(R275)),"",IF(U275="W",IF(ISNUMBER(P275),R275*(P275-1),""),IF(U275="L",-R275,IF(U275="Push",0,""))))</f>
        <v/>
      </c>
      <c r="X275" t="inlineStr">
        <is>
          <t>graded from final</t>
        </is>
      </c>
      <c r="Y275" t="inlineStr">
        <is>
          <t>Y - tags Gamdom</t>
        </is>
      </c>
      <c r="Z275" t="inlineStr">
        <is>
          <t>https://x.com/stevewilldoit/status/2099527058758021382</t>
        </is>
      </c>
      <c r="AA275" t="inlineStr">
        <is>
          <t>"Added $150,000!"</t>
        </is>
      </c>
      <c r="AB275" t="inlineStr">
        <is>
          <t>Single</t>
        </is>
      </c>
      <c r="AC275" s="5">
        <f>IF(ISNUMBER(V275),Q275,"")</f>
        <v/>
      </c>
      <c r="AD275">
        <f>IF(ISNUMBER(W275),R275,"")</f>
        <v/>
      </c>
    </row>
    <row r="276">
      <c r="A276" t="inlineStr">
        <is>
          <t>T-968125</t>
        </is>
      </c>
      <c r="B276" t="inlineStr">
        <is>
          <t>Trent</t>
        </is>
      </c>
      <c r="C276" s="2" t="n">
        <v>46279.53284722222</v>
      </c>
      <c r="D276">
        <f>IF(C276="","",TEXT(C276,"dddd"))</f>
        <v/>
      </c>
      <c r="E276" s="3" t="n">
        <v>46279</v>
      </c>
      <c r="F276">
        <f>IF(E276="","",TEXT(E276,"dddd"))</f>
        <v/>
      </c>
      <c r="G276" t="inlineStr">
        <is>
          <t>8:15 PM</t>
        </is>
      </c>
      <c r="H276" t="inlineStr">
        <is>
          <t>Y</t>
        </is>
      </c>
      <c r="I276" t="inlineStr">
        <is>
          <t>MNF</t>
        </is>
      </c>
      <c r="J276" t="inlineStr">
        <is>
          <t>NFL</t>
        </is>
      </c>
      <c r="K276" t="inlineStr">
        <is>
          <t>NFL</t>
        </is>
      </c>
      <c r="L276" t="inlineStr">
        <is>
          <t>spread</t>
        </is>
      </c>
      <c r="M276" t="inlineStr">
        <is>
          <t>Denver Broncos +2.5 vs Chiefs (MNF)</t>
        </is>
      </c>
      <c r="N276" t="n">
        <v>1</v>
      </c>
      <c r="O276" t="inlineStr">
        <is>
          <t>not shown</t>
        </is>
      </c>
      <c r="P276" s="4" t="inlineStr"/>
      <c r="Q276" s="5" t="inlineStr"/>
      <c r="R276" t="n">
        <v>4</v>
      </c>
      <c r="S276" s="5" t="inlineStr"/>
      <c r="T276" t="inlineStr">
        <is>
          <t>not shown</t>
        </is>
      </c>
      <c r="U276" t="inlineStr">
        <is>
          <t>L</t>
        </is>
      </c>
      <c r="V276" s="5">
        <f>IF(NOT(ISNUMBER(Q276)),"",IF(U276="W",IF(ISNUMBER(S276),S276-Q276,IF(ISNUMBER(P276),Q276*(P276-1),"")),IF(U276="L",-Q276,IF(U276="Push",0,""))))</f>
        <v/>
      </c>
      <c r="W276">
        <f>IF(NOT(ISNUMBER(R276)),"",IF(U276="W",IF(ISNUMBER(P276),R276*(P276-1),""),IF(U276="L",-R276,IF(U276="Push",0,""))))</f>
        <v/>
      </c>
      <c r="X276" t="inlineStr">
        <is>
          <t>posted</t>
        </is>
      </c>
      <c r="Y276" t="inlineStr">
        <is>
          <t>N</t>
        </is>
      </c>
      <c r="Z276" t="inlineStr">
        <is>
          <t>https://x.com/BookitWithTrent/status/2099555602665968125</t>
        </is>
      </c>
      <c r="AA276" t="inlineStr">
        <is>
          <t>"MNF Mortal Mega Max" 4u; "Right read ❌... shoulda bought the half point"/"SHIT WAGER"</t>
        </is>
      </c>
      <c r="AB276" t="inlineStr">
        <is>
          <t>Single</t>
        </is>
      </c>
      <c r="AC276" s="5">
        <f>IF(ISNUMBER(V276),Q276,"")</f>
        <v/>
      </c>
      <c r="AD276">
        <f>IF(ISNUMBER(W276),R276,"")</f>
        <v/>
      </c>
    </row>
    <row r="277">
      <c r="A277" t="inlineStr">
        <is>
          <t>T-487452</t>
        </is>
      </c>
      <c r="B277" t="inlineStr">
        <is>
          <t>Trent</t>
        </is>
      </c>
      <c r="C277" s="2" t="n">
        <v>46279.61806712963</v>
      </c>
      <c r="D277">
        <f>IF(C277="","",TEXT(C277,"dddd"))</f>
        <v/>
      </c>
      <c r="E277" s="3" t="n">
        <v>46279</v>
      </c>
      <c r="F277">
        <f>IF(E277="","",TEXT(E277,"dddd"))</f>
        <v/>
      </c>
      <c r="G277" t="inlineStr">
        <is>
          <t>8:15 PM</t>
        </is>
      </c>
      <c r="H277" t="inlineStr">
        <is>
          <t>Y</t>
        </is>
      </c>
      <c r="I277" t="inlineStr">
        <is>
          <t>MNF</t>
        </is>
      </c>
      <c r="J277" t="inlineStr">
        <is>
          <t>NFL</t>
        </is>
      </c>
      <c r="K277" t="inlineStr">
        <is>
          <t>NFL</t>
        </is>
      </c>
      <c r="L277" t="inlineStr">
        <is>
          <t>first TD</t>
        </is>
      </c>
      <c r="M277" t="inlineStr">
        <is>
          <t>Evan Engram first TD scorer (MNF)</t>
        </is>
      </c>
      <c r="N277" t="n">
        <v>1</v>
      </c>
      <c r="O277" t="inlineStr">
        <is>
          <t>+2500</t>
        </is>
      </c>
      <c r="P277" s="4" t="n">
        <v>26</v>
      </c>
      <c r="Q277" s="5" t="inlineStr"/>
      <c r="R277" t="inlineStr"/>
      <c r="S277" s="5" t="inlineStr"/>
      <c r="T277" t="inlineStr">
        <is>
          <t>not shown</t>
        </is>
      </c>
      <c r="U277" t="inlineStr">
        <is>
          <t>L</t>
        </is>
      </c>
      <c r="V277" s="5">
        <f>IF(NOT(ISNUMBER(Q277)),"",IF(U277="W",IF(ISNUMBER(S277),S277-Q277,IF(ISNUMBER(P277),Q277*(P277-1),"")),IF(U277="L",-Q277,IF(U277="Push",0,""))))</f>
        <v/>
      </c>
      <c r="W277">
        <f>IF(NOT(ISNUMBER(R277)),"",IF(U277="W",IF(ISNUMBER(P277),R277*(P277-1),""),IF(U277="L",-R277,IF(U277="Push",0,""))))</f>
        <v/>
      </c>
      <c r="X277" t="inlineStr">
        <is>
          <t>posted</t>
        </is>
      </c>
      <c r="Y277" t="inlineStr">
        <is>
          <t>N</t>
        </is>
      </c>
      <c r="Z277" t="inlineStr">
        <is>
          <t>https://x.com/BookitWithTrent/status/2099586485263487452</t>
        </is>
      </c>
      <c r="AA277" t="inlineStr">
        <is>
          <t>Record moved to 0-4; Game date assumed = post date (CT)</t>
        </is>
      </c>
      <c r="AB277" t="inlineStr">
        <is>
          <t>Single</t>
        </is>
      </c>
      <c r="AC277" s="5">
        <f>IF(ISNUMBER(V277),Q277,"")</f>
        <v/>
      </c>
      <c r="AD277">
        <f>IF(ISNUMBER(W277),R277,"")</f>
        <v/>
      </c>
    </row>
    <row r="278">
      <c r="A278" t="inlineStr">
        <is>
          <t>T-923099</t>
        </is>
      </c>
      <c r="B278" t="inlineStr">
        <is>
          <t>Trent</t>
        </is>
      </c>
      <c r="C278" s="2" t="n">
        <v>46280.52630787037</v>
      </c>
      <c r="D278">
        <f>IF(C278="","",TEXT(C278,"dddd"))</f>
        <v/>
      </c>
      <c r="E278" s="3" t="n">
        <v>46280</v>
      </c>
      <c r="F278">
        <f>IF(E278="","",TEXT(E278,"dddd"))</f>
        <v/>
      </c>
      <c r="G278" t="inlineStr">
        <is>
          <t>9:38 PM</t>
        </is>
      </c>
      <c r="H278" t="inlineStr">
        <is>
          <t>N</t>
        </is>
      </c>
      <c r="I278" t="inlineStr"/>
      <c r="J278" t="inlineStr">
        <is>
          <t>MLB</t>
        </is>
      </c>
      <c r="K278" t="inlineStr">
        <is>
          <t>MLB</t>
        </is>
      </c>
      <c r="L278" t="inlineStr">
        <is>
          <t>parlay</t>
        </is>
      </c>
      <c r="M278" t="inlineStr">
        <is>
          <t>Dodgers ML; Rays ML; Brewers ML; Phillies ML; Mariners ML</t>
        </is>
      </c>
      <c r="N278" t="n">
        <v>5</v>
      </c>
      <c r="O278" t="inlineStr">
        <is>
          <t>+600</t>
        </is>
      </c>
      <c r="P278" s="4" t="n">
        <v>7</v>
      </c>
      <c r="Q278" s="5" t="n">
        <v>1000</v>
      </c>
      <c r="R278" t="inlineStr"/>
      <c r="S278" s="5" t="n">
        <v>7000</v>
      </c>
      <c r="T278" t="inlineStr">
        <is>
          <t>Pikkit</t>
        </is>
      </c>
      <c r="U278" t="inlineStr">
        <is>
          <t>L</t>
        </is>
      </c>
      <c r="V278" s="5">
        <f>IF(NOT(ISNUMBER(Q278)),"",IF(U278="W",IF(ISNUMBER(S278),S278-Q278,IF(ISNUMBER(P278),Q278*(P278-1),"")),IF(U278="L",-Q278,IF(U278="Push",0,""))))</f>
        <v/>
      </c>
      <c r="W278">
        <f>IF(NOT(ISNUMBER(R278)),"",IF(U278="W",IF(ISNUMBER(P278),R278*(P278-1),""),IF(U278="L",-R278,IF(U278="Push",0,""))))</f>
        <v/>
      </c>
      <c r="X278" t="inlineStr">
        <is>
          <t>graded from final</t>
        </is>
      </c>
      <c r="Y278" t="inlineStr">
        <is>
          <t>N</t>
        </is>
      </c>
      <c r="Z278" t="inlineStr">
        <is>
          <t>https://x.com/BookitWithTrent/status/2099915623102923099</t>
        </is>
      </c>
      <c r="AA278" t="inlineStr">
        <is>
          <t>"Back to the diamond" Fugazi Five</t>
        </is>
      </c>
      <c r="AB278" t="inlineStr">
        <is>
          <t>Parlay/multi-leg</t>
        </is>
      </c>
      <c r="AC278" s="5">
        <f>IF(ISNUMBER(V278),Q278,"")</f>
        <v/>
      </c>
      <c r="AD278">
        <f>IF(ISNUMBER(W278),R278,"")</f>
        <v/>
      </c>
    </row>
    <row r="279">
      <c r="A279" t="inlineStr">
        <is>
          <t>T-509012</t>
        </is>
      </c>
      <c r="B279" t="inlineStr">
        <is>
          <t>Trent</t>
        </is>
      </c>
      <c r="C279" s="2" t="n">
        <v>46280.52846064815</v>
      </c>
      <c r="D279">
        <f>IF(C279="","",TEXT(C279,"dddd"))</f>
        <v/>
      </c>
      <c r="E279" s="3" t="n">
        <v>46280</v>
      </c>
      <c r="F279">
        <f>IF(E279="","",TEXT(E279,"dddd"))</f>
        <v/>
      </c>
      <c r="G279" t="inlineStr">
        <is>
          <t>not matched</t>
        </is>
      </c>
      <c r="H279" t="inlineStr">
        <is>
          <t>N</t>
        </is>
      </c>
      <c r="I279" t="inlineStr"/>
      <c r="J279" t="inlineStr">
        <is>
          <t>MLB</t>
        </is>
      </c>
      <c r="K279" t="inlineStr">
        <is>
          <t>MLB</t>
        </is>
      </c>
      <c r="L279" t="inlineStr">
        <is>
          <t>PrizePicks/DFS</t>
        </is>
      </c>
      <c r="M279" t="inlineStr">
        <is>
          <t>Junior Caminero o6.5 HFS; Cristopher Sanchez o38.5 PFS; Manny Machado o2.5 H+R+RBI; Logan Gilbert o6.5 K</t>
        </is>
      </c>
      <c r="N279" t="n">
        <v>4</v>
      </c>
      <c r="O279" t="inlineStr">
        <is>
          <t>not shown</t>
        </is>
      </c>
      <c r="P279" s="4" t="n">
        <v>10</v>
      </c>
      <c r="Q279" s="5" t="n">
        <v>1000</v>
      </c>
      <c r="R279" t="inlineStr"/>
      <c r="S279" s="5" t="n">
        <v>10000</v>
      </c>
      <c r="T279" t="inlineStr">
        <is>
          <t>PrizePicks</t>
        </is>
      </c>
      <c r="U279" t="inlineStr">
        <is>
          <t>L</t>
        </is>
      </c>
      <c r="V279" s="5">
        <f>IF(NOT(ISNUMBER(Q279)),"",IF(U279="W",IF(ISNUMBER(S279),S279-Q279,IF(ISNUMBER(P279),Q279*(P279-1),"")),IF(U279="L",-Q279,IF(U279="Push",0,""))))</f>
        <v/>
      </c>
      <c r="W279">
        <f>IF(NOT(ISNUMBER(R279)),"",IF(U279="W",IF(ISNUMBER(P279),R279*(P279-1),""),IF(U279="L",-R279,IF(U279="Push",0,""))))</f>
        <v/>
      </c>
      <c r="X279" t="inlineStr">
        <is>
          <t>graded from final</t>
        </is>
      </c>
      <c r="Y279" t="inlineStr">
        <is>
          <t>N</t>
        </is>
      </c>
      <c r="Z279" t="inlineStr">
        <is>
          <t>https://x.com/BookitWithTrent/status/2099916401712509012</t>
        </is>
      </c>
      <c r="AA279" t="inlineStr">
        <is>
          <t>Final: C. Sanchez ~19 PFS; Decimal odds derived from payout/stake</t>
        </is>
      </c>
      <c r="AB279" t="inlineStr">
        <is>
          <t>Parlay/multi-leg</t>
        </is>
      </c>
      <c r="AC279" s="5">
        <f>IF(ISNUMBER(V279),Q279,"")</f>
        <v/>
      </c>
      <c r="AD279">
        <f>IF(ISNUMBER(W279),R279,"")</f>
        <v/>
      </c>
    </row>
    <row r="280">
      <c r="A280" t="inlineStr">
        <is>
          <t>T-507270</t>
        </is>
      </c>
      <c r="B280" t="inlineStr">
        <is>
          <t>Trent</t>
        </is>
      </c>
      <c r="C280" s="2" t="n">
        <v>46280.64086805555</v>
      </c>
      <c r="D280">
        <f>IF(C280="","",TEXT(C280,"dddd"))</f>
        <v/>
      </c>
      <c r="E280" s="3" t="n">
        <v>46280</v>
      </c>
      <c r="F280">
        <f>IF(E280="","",TEXT(E280,"dddd"))</f>
        <v/>
      </c>
      <c r="G280" t="inlineStr">
        <is>
          <t>not matched</t>
        </is>
      </c>
      <c r="H280" t="inlineStr">
        <is>
          <t>N</t>
        </is>
      </c>
      <c r="I280" t="inlineStr"/>
      <c r="J280" t="inlineStr">
        <is>
          <t>MLB</t>
        </is>
      </c>
      <c r="K280" t="inlineStr">
        <is>
          <t>MLB</t>
        </is>
      </c>
      <c r="L280" t="inlineStr">
        <is>
          <t>PrizePicks/DFS</t>
        </is>
      </c>
      <c r="M280" t="inlineStr">
        <is>
          <t>HR o0.5: Junior Caminero; Coby Mayo; Aaron Judge; Matt Olson</t>
        </is>
      </c>
      <c r="N280" t="n">
        <v>4</v>
      </c>
      <c r="O280" t="inlineStr">
        <is>
          <t>not shown</t>
        </is>
      </c>
      <c r="P280" s="4" t="n">
        <v>160</v>
      </c>
      <c r="Q280" s="5" t="n">
        <v>50</v>
      </c>
      <c r="R280" t="inlineStr"/>
      <c r="S280" s="5" t="n">
        <v>8000</v>
      </c>
      <c r="T280" t="inlineStr">
        <is>
          <t>PrizePicks</t>
        </is>
      </c>
      <c r="U280" t="inlineStr">
        <is>
          <t>L</t>
        </is>
      </c>
      <c r="V280" s="5">
        <f>IF(NOT(ISNUMBER(Q280)),"",IF(U280="W",IF(ISNUMBER(S280),S280-Q280,IF(ISNUMBER(P280),Q280*(P280-1),"")),IF(U280="L",-Q280,IF(U280="Push",0,""))))</f>
        <v/>
      </c>
      <c r="W280">
        <f>IF(NOT(ISNUMBER(R280)),"",IF(U280="W",IF(ISNUMBER(P280),R280*(P280-1),""),IF(U280="L",-R280,IF(U280="Push",0,""))))</f>
        <v/>
      </c>
      <c r="X280" t="inlineStr">
        <is>
          <t>graded from final</t>
        </is>
      </c>
      <c r="Y280" t="inlineStr">
        <is>
          <t>N</t>
        </is>
      </c>
      <c r="Z280" t="inlineStr">
        <is>
          <t>https://x.com/BookitWithTrent/status/2099957138554507270</t>
        </is>
      </c>
      <c r="AA280" t="inlineStr">
        <is>
          <t>"Dinger Tuesday... $50 pays $8,000"; Final: Olson no HR (Judge not in box score); Decimal odds derived from payout/stake</t>
        </is>
      </c>
      <c r="AB280" t="inlineStr">
        <is>
          <t>Parlay/multi-leg</t>
        </is>
      </c>
      <c r="AC280" s="5">
        <f>IF(ISNUMBER(V280),Q280,"")</f>
        <v/>
      </c>
      <c r="AD280">
        <f>IF(ISNUMBER(W280),R280,"")</f>
        <v/>
      </c>
    </row>
    <row r="281">
      <c r="A281" t="inlineStr">
        <is>
          <t>T-175645</t>
        </is>
      </c>
      <c r="B281" t="inlineStr">
        <is>
          <t>Trent</t>
        </is>
      </c>
      <c r="C281" s="2" t="n">
        <v>46280.90099537037</v>
      </c>
      <c r="D281">
        <f>IF(C281="","",TEXT(C281,"dddd"))</f>
        <v/>
      </c>
      <c r="E281" s="3" t="n">
        <v>46280</v>
      </c>
      <c r="F281">
        <f>IF(E281="","",TEXT(E281,"dddd"))</f>
        <v/>
      </c>
      <c r="G281" t="inlineStr">
        <is>
          <t>not matched</t>
        </is>
      </c>
      <c r="H281" t="inlineStr">
        <is>
          <t>N</t>
        </is>
      </c>
      <c r="I281" t="inlineStr"/>
      <c r="J281" t="inlineStr">
        <is>
          <t>MLB</t>
        </is>
      </c>
      <c r="K281" t="inlineStr">
        <is>
          <t>MLB</t>
        </is>
      </c>
      <c r="L281" t="inlineStr">
        <is>
          <t>PrizePicks/DFS</t>
        </is>
      </c>
      <c r="M281" t="inlineStr">
        <is>
          <t>H+R+RBI o2.5 (demon): Junior Caminero; Coby Mayo; Ronald Acuna Jr.; Yordan Alvarez; Jake McCarthy; Josh Naylor</t>
        </is>
      </c>
      <c r="N281" t="n">
        <v>6</v>
      </c>
      <c r="O281" t="inlineStr">
        <is>
          <t>not shown</t>
        </is>
      </c>
      <c r="P281" s="4" t="n">
        <v>160</v>
      </c>
      <c r="Q281" s="5" t="n">
        <v>500</v>
      </c>
      <c r="R281" t="inlineStr"/>
      <c r="S281" s="5" t="n">
        <v>80000</v>
      </c>
      <c r="T281" t="inlineStr">
        <is>
          <t>PrizePicks</t>
        </is>
      </c>
      <c r="U281" t="inlineStr">
        <is>
          <t>L</t>
        </is>
      </c>
      <c r="V281" s="5">
        <f>IF(NOT(ISNUMBER(Q281)),"",IF(U281="W",IF(ISNUMBER(S281),S281-Q281,IF(ISNUMBER(P281),Q281*(P281-1),"")),IF(U281="L",-Q281,IF(U281="Push",0,""))))</f>
        <v/>
      </c>
      <c r="W281">
        <f>IF(NOT(ISNUMBER(R281)),"",IF(U281="W",IF(ISNUMBER(P281),R281*(P281-1),""),IF(U281="L",-R281,IF(U281="Push",0,""))))</f>
        <v/>
      </c>
      <c r="X281" t="inlineStr">
        <is>
          <t>posted</t>
        </is>
      </c>
      <c r="Y281" t="inlineStr">
        <is>
          <t>N</t>
        </is>
      </c>
      <c r="Z281" t="inlineStr">
        <is>
          <t>https://x.com/BookitWithTrent/status/2100051402995175645</t>
        </is>
      </c>
      <c r="AA281" t="inlineStr">
        <is>
          <t>Naylor finished with 2 ("gunna be thinking about this for days"); Game date assumed = post date (CT); Decimal odds derived from payout/stake</t>
        </is>
      </c>
      <c r="AB281" t="inlineStr">
        <is>
          <t>Parlay/multi-leg</t>
        </is>
      </c>
      <c r="AC281" s="5">
        <f>IF(ISNUMBER(V281),Q281,"")</f>
        <v/>
      </c>
      <c r="AD281">
        <f>IF(ISNUMBER(W281),R281,"")</f>
        <v/>
      </c>
    </row>
    <row r="282">
      <c r="A282" t="inlineStr">
        <is>
          <t>S-017602</t>
        </is>
      </c>
      <c r="B282" t="inlineStr">
        <is>
          <t>Steve</t>
        </is>
      </c>
      <c r="C282" s="2" t="n">
        <v>46281.02886574074</v>
      </c>
      <c r="D282">
        <f>IF(C282="","",TEXT(C282,"dddd"))</f>
        <v/>
      </c>
      <c r="E282" s="3" t="n">
        <v>46282</v>
      </c>
      <c r="F282">
        <f>IF(E282="","",TEXT(E282,"dddd"))</f>
        <v/>
      </c>
      <c r="G282" t="inlineStr">
        <is>
          <t>8:15 PM</t>
        </is>
      </c>
      <c r="H282" t="inlineStr">
        <is>
          <t>Y</t>
        </is>
      </c>
      <c r="I282" t="inlineStr">
        <is>
          <t>TNF</t>
        </is>
      </c>
      <c r="J282" t="inlineStr">
        <is>
          <t>NFL</t>
        </is>
      </c>
      <c r="K282" t="inlineStr">
        <is>
          <t>NFL</t>
        </is>
      </c>
      <c r="L282" t="inlineStr">
        <is>
          <t>spread</t>
        </is>
      </c>
      <c r="M282" t="inlineStr">
        <is>
          <t>Detroit Lions +1.5 vs Buffalo Bills (TNF)</t>
        </is>
      </c>
      <c r="N282" t="n">
        <v>1</v>
      </c>
      <c r="O282" t="inlineStr">
        <is>
          <t>+152</t>
        </is>
      </c>
      <c r="P282" s="4" t="n">
        <v>2.52</v>
      </c>
      <c r="Q282" s="5" t="n">
        <v>25000</v>
      </c>
      <c r="R282" t="inlineStr"/>
      <c r="S282" s="5" t="n">
        <v>63000</v>
      </c>
      <c r="T282" t="inlineStr">
        <is>
          <t>Gamdom</t>
        </is>
      </c>
      <c r="U282" t="inlineStr">
        <is>
          <t>L</t>
        </is>
      </c>
      <c r="V282" s="5">
        <f>IF(NOT(ISNUMBER(Q282)),"",IF(U282="W",IF(ISNUMBER(S282),S282-Q282,IF(ISNUMBER(P282),Q282*(P282-1),"")),IF(U282="L",-Q282,IF(U282="Push",0,""))))</f>
        <v/>
      </c>
      <c r="W282">
        <f>IF(NOT(ISNUMBER(R282)),"",IF(U282="W",IF(ISNUMBER(P282),R282*(P282-1),""),IF(U282="L",-R282,IF(U282="Push",0,""))))</f>
        <v/>
      </c>
      <c r="X282" t="inlineStr">
        <is>
          <t>posted</t>
        </is>
      </c>
      <c r="Y282" t="inlineStr">
        <is>
          <t>Y - tags Gamdom, promo/giveaway language</t>
        </is>
      </c>
      <c r="Z282" t="inlineStr">
        <is>
          <t>https://x.com/stevewilldoit/status/2100097743742017602</t>
        </is>
      </c>
      <c r="AA282" t="inlineStr"/>
      <c r="AB282" t="inlineStr">
        <is>
          <t>Single</t>
        </is>
      </c>
      <c r="AC282" s="5">
        <f>IF(ISNUMBER(V282),Q282,"")</f>
        <v/>
      </c>
      <c r="AD282">
        <f>IF(ISNUMBER(W282),R282,"")</f>
        <v/>
      </c>
    </row>
    <row r="283">
      <c r="A283" t="inlineStr">
        <is>
          <t>S-095819</t>
        </is>
      </c>
      <c r="B283" t="inlineStr">
        <is>
          <t>Steve</t>
        </is>
      </c>
      <c r="C283" s="2" t="n">
        <v>46281.34274305555</v>
      </c>
      <c r="D283">
        <f>IF(C283="","",TEXT(C283,"dddd"))</f>
        <v/>
      </c>
      <c r="E283" s="3" t="n">
        <v>46282</v>
      </c>
      <c r="F283">
        <f>IF(E283="","",TEXT(E283,"dddd"))</f>
        <v/>
      </c>
      <c r="G283" t="inlineStr">
        <is>
          <t>8:15 PM</t>
        </is>
      </c>
      <c r="H283" t="inlineStr">
        <is>
          <t>Y</t>
        </is>
      </c>
      <c r="I283" t="inlineStr">
        <is>
          <t>TNF</t>
        </is>
      </c>
      <c r="J283" t="inlineStr">
        <is>
          <t>NFL</t>
        </is>
      </c>
      <c r="K283" t="inlineStr">
        <is>
          <t>NFL</t>
        </is>
      </c>
      <c r="L283" t="inlineStr">
        <is>
          <t>spread</t>
        </is>
      </c>
      <c r="M283" t="inlineStr">
        <is>
          <t>Detroit Lions +1.5 vs Buffalo Bills (TNF)</t>
        </is>
      </c>
      <c r="N283" t="n">
        <v>1</v>
      </c>
      <c r="O283" t="inlineStr">
        <is>
          <t>+157</t>
        </is>
      </c>
      <c r="P283" s="4" t="n">
        <v>2.57</v>
      </c>
      <c r="Q283" s="5" t="n">
        <v>368876.09</v>
      </c>
      <c r="R283" t="inlineStr"/>
      <c r="S283" s="5" t="n">
        <v>948011.55</v>
      </c>
      <c r="T283" t="inlineStr">
        <is>
          <t>Gamdom</t>
        </is>
      </c>
      <c r="U283" t="inlineStr">
        <is>
          <t>L</t>
        </is>
      </c>
      <c r="V283" s="5">
        <f>IF(NOT(ISNUMBER(Q283)),"",IF(U283="W",IF(ISNUMBER(S283),S283-Q283,IF(ISNUMBER(P283),Q283*(P283-1),"")),IF(U283="L",-Q283,IF(U283="Push",0,""))))</f>
        <v/>
      </c>
      <c r="W283">
        <f>IF(NOT(ISNUMBER(R283)),"",IF(U283="W",IF(ISNUMBER(P283),R283*(P283-1),""),IF(U283="L",-R283,IF(U283="Push",0,""))))</f>
        <v/>
      </c>
      <c r="X283" t="inlineStr">
        <is>
          <t>posted</t>
        </is>
      </c>
      <c r="Y283" t="inlineStr">
        <is>
          <t>Y - tags Gamdom</t>
        </is>
      </c>
      <c r="Z283" t="inlineStr">
        <is>
          <t>https://x.com/stevewilldoit/status/2100211487969095819</t>
        </is>
      </c>
      <c r="AA283" t="inlineStr">
        <is>
          <t>"NUKING THE LIONS"</t>
        </is>
      </c>
      <c r="AB283" t="inlineStr">
        <is>
          <t>Single</t>
        </is>
      </c>
      <c r="AC283" s="5">
        <f>IF(ISNUMBER(V283),Q283,"")</f>
        <v/>
      </c>
      <c r="AD283">
        <f>IF(ISNUMBER(W283),R283,"")</f>
        <v/>
      </c>
    </row>
    <row r="284">
      <c r="A284" t="inlineStr">
        <is>
          <t>S-376771</t>
        </is>
      </c>
      <c r="B284" t="inlineStr">
        <is>
          <t>Steve</t>
        </is>
      </c>
      <c r="C284" s="2" t="n">
        <v>46281.62732638889</v>
      </c>
      <c r="D284">
        <f>IF(C284="","",TEXT(C284,"dddd"))</f>
        <v/>
      </c>
      <c r="E284" s="3" t="n">
        <v>46281</v>
      </c>
      <c r="F284">
        <f>IF(E284="","",TEXT(E284,"dddd"))</f>
        <v/>
      </c>
      <c r="G284" t="inlineStr">
        <is>
          <t>7:40 PM</t>
        </is>
      </c>
      <c r="H284" t="inlineStr">
        <is>
          <t>N</t>
        </is>
      </c>
      <c r="I284" t="inlineStr"/>
      <c r="J284" t="inlineStr">
        <is>
          <t>MLB</t>
        </is>
      </c>
      <c r="K284" t="inlineStr">
        <is>
          <t>MLB</t>
        </is>
      </c>
      <c r="L284" t="inlineStr">
        <is>
          <t>spread</t>
        </is>
      </c>
      <c r="M284" t="inlineStr">
        <is>
          <t>Chicago Cubs F5 -0.5 vs Atlanta Braves</t>
        </is>
      </c>
      <c r="N284" t="n">
        <v>1</v>
      </c>
      <c r="O284" t="inlineStr">
        <is>
          <t>-130</t>
        </is>
      </c>
      <c r="P284" s="4" t="n">
        <v>1.7692</v>
      </c>
      <c r="Q284" s="5" t="n">
        <v>66498</v>
      </c>
      <c r="R284" t="inlineStr"/>
      <c r="S284" s="5" t="n">
        <v>117701.46</v>
      </c>
      <c r="T284" t="inlineStr">
        <is>
          <t>Gamdom</t>
        </is>
      </c>
      <c r="U284" t="inlineStr">
        <is>
          <t>W</t>
        </is>
      </c>
      <c r="V284" s="5">
        <f>IF(NOT(ISNUMBER(Q284)),"",IF(U284="W",IF(ISNUMBER(S284),S284-Q284,IF(ISNUMBER(P284),Q284*(P284-1),"")),IF(U284="L",-Q284,IF(U284="Push",0,""))))</f>
        <v/>
      </c>
      <c r="W284">
        <f>IF(NOT(ISNUMBER(R284)),"",IF(U284="W",IF(ISNUMBER(P284),R284*(P284-1),""),IF(U284="L",-R284,IF(U284="Push",0,""))))</f>
        <v/>
      </c>
      <c r="X284" t="inlineStr">
        <is>
          <t>graded from final</t>
        </is>
      </c>
      <c r="Y284" t="inlineStr">
        <is>
          <t>Y - tags Gamdom</t>
        </is>
      </c>
      <c r="Z284" t="inlineStr">
        <is>
          <t>https://x.com/stevewilldoit/status/2100314617117376771</t>
        </is>
      </c>
      <c r="AA284" t="inlineStr">
        <is>
          <t>AI guy pick</t>
        </is>
      </c>
      <c r="AB284" t="inlineStr">
        <is>
          <t>Single</t>
        </is>
      </c>
      <c r="AC284" s="5">
        <f>IF(ISNUMBER(V284),Q284,"")</f>
        <v/>
      </c>
      <c r="AD284">
        <f>IF(ISNUMBER(W284),R284,"")</f>
        <v/>
      </c>
    </row>
    <row r="285">
      <c r="A285" t="inlineStr">
        <is>
          <t>S-376771b</t>
        </is>
      </c>
      <c r="B285" t="inlineStr">
        <is>
          <t>Steve</t>
        </is>
      </c>
      <c r="C285" s="2" t="n">
        <v>46281.62732638889</v>
      </c>
      <c r="D285">
        <f>IF(C285="","",TEXT(C285,"dddd"))</f>
        <v/>
      </c>
      <c r="E285" s="3" t="n">
        <v>46281</v>
      </c>
      <c r="F285">
        <f>IF(E285="","",TEXT(E285,"dddd"))</f>
        <v/>
      </c>
      <c r="G285" t="inlineStr">
        <is>
          <t>7:40 PM</t>
        </is>
      </c>
      <c r="H285" t="inlineStr">
        <is>
          <t>N</t>
        </is>
      </c>
      <c r="I285" t="inlineStr"/>
      <c r="J285" t="inlineStr">
        <is>
          <t>MLB</t>
        </is>
      </c>
      <c r="K285" t="inlineStr">
        <is>
          <t>MLB</t>
        </is>
      </c>
      <c r="L285" t="inlineStr">
        <is>
          <t>spread</t>
        </is>
      </c>
      <c r="M285" t="inlineStr">
        <is>
          <t>Chicago Cubs F5 handicap (0) vs Atlanta Braves</t>
        </is>
      </c>
      <c r="N285" t="n">
        <v>1</v>
      </c>
      <c r="O285" t="inlineStr">
        <is>
          <t>-196</t>
        </is>
      </c>
      <c r="P285" s="4" t="n">
        <v>1.5102</v>
      </c>
      <c r="Q285" s="5" t="n">
        <v>75000</v>
      </c>
      <c r="R285" t="inlineStr"/>
      <c r="S285" s="5" t="n">
        <v>113250</v>
      </c>
      <c r="T285" t="inlineStr">
        <is>
          <t>Gamdom</t>
        </is>
      </c>
      <c r="U285" t="inlineStr">
        <is>
          <t>W</t>
        </is>
      </c>
      <c r="V285" s="5">
        <f>IF(NOT(ISNUMBER(Q285)),"",IF(U285="W",IF(ISNUMBER(S285),S285-Q285,IF(ISNUMBER(P285),Q285*(P285-1),"")),IF(U285="L",-Q285,IF(U285="Push",0,""))))</f>
        <v/>
      </c>
      <c r="W285">
        <f>IF(NOT(ISNUMBER(R285)),"",IF(U285="W",IF(ISNUMBER(P285),R285*(P285-1),""),IF(U285="L",-R285,IF(U285="Push",0,""))))</f>
        <v/>
      </c>
      <c r="X285" t="inlineStr">
        <is>
          <t>graded from final</t>
        </is>
      </c>
      <c r="Y285" t="inlineStr">
        <is>
          <t>Y - tags Gamdom</t>
        </is>
      </c>
      <c r="Z285" t="inlineStr">
        <is>
          <t>https://x.com/stevewilldoit/status/2100314617117376771</t>
        </is>
      </c>
      <c r="AA285" t="inlineStr">
        <is>
          <t>AI guy pick</t>
        </is>
      </c>
      <c r="AB285" t="inlineStr">
        <is>
          <t>Single</t>
        </is>
      </c>
      <c r="AC285" s="5">
        <f>IF(ISNUMBER(V285),Q285,"")</f>
        <v/>
      </c>
      <c r="AD285">
        <f>IF(ISNUMBER(W285),R285,"")</f>
        <v/>
      </c>
    </row>
    <row r="286">
      <c r="A286" t="inlineStr">
        <is>
          <t>S-192695</t>
        </is>
      </c>
      <c r="B286" t="inlineStr">
        <is>
          <t>Steve</t>
        </is>
      </c>
      <c r="C286" s="2" t="n">
        <v>46281.77346064815</v>
      </c>
      <c r="D286">
        <f>IF(C286="","",TEXT(C286,"dddd"))</f>
        <v/>
      </c>
      <c r="E286" s="3" t="n">
        <v>46281</v>
      </c>
      <c r="F286">
        <f>IF(E286="","",TEXT(E286,"dddd"))</f>
        <v/>
      </c>
      <c r="G286" t="inlineStr">
        <is>
          <t>6:40 PM</t>
        </is>
      </c>
      <c r="H286" t="inlineStr">
        <is>
          <t>N</t>
        </is>
      </c>
      <c r="I286" t="inlineStr"/>
      <c r="J286" t="inlineStr">
        <is>
          <t>MLB</t>
        </is>
      </c>
      <c r="K286" t="inlineStr">
        <is>
          <t>MLB</t>
        </is>
      </c>
      <c r="L286" t="inlineStr">
        <is>
          <t>spread</t>
        </is>
      </c>
      <c r="M286" t="inlineStr">
        <is>
          <t>Cincinnati Reds +2.5 vs LA Dodgers</t>
        </is>
      </c>
      <c r="N286" t="n">
        <v>1</v>
      </c>
      <c r="O286" t="inlineStr">
        <is>
          <t>-159</t>
        </is>
      </c>
      <c r="P286" s="4" t="n">
        <v>1.6289</v>
      </c>
      <c r="Q286" s="5" t="n">
        <v>75000</v>
      </c>
      <c r="R286" t="inlineStr"/>
      <c r="S286" s="5" t="n">
        <v>122250</v>
      </c>
      <c r="T286" t="inlineStr">
        <is>
          <t>Gamdom</t>
        </is>
      </c>
      <c r="U286" t="inlineStr">
        <is>
          <t>W</t>
        </is>
      </c>
      <c r="V286" s="5">
        <f>IF(NOT(ISNUMBER(Q286)),"",IF(U286="W",IF(ISNUMBER(S286),S286-Q286,IF(ISNUMBER(P286),Q286*(P286-1),"")),IF(U286="L",-Q286,IF(U286="Push",0,""))))</f>
        <v/>
      </c>
      <c r="W286">
        <f>IF(NOT(ISNUMBER(R286)),"",IF(U286="W",IF(ISNUMBER(P286),R286*(P286-1),""),IF(U286="L",-R286,IF(U286="Push",0,""))))</f>
        <v/>
      </c>
      <c r="X286" t="inlineStr">
        <is>
          <t>graded from final</t>
        </is>
      </c>
      <c r="Y286" t="inlineStr">
        <is>
          <t>Y - tags Gamdom</t>
        </is>
      </c>
      <c r="Z286" t="inlineStr">
        <is>
          <t>https://x.com/stevewilldoit/status/2100367576526192695</t>
        </is>
      </c>
      <c r="AA286" t="inlineStr">
        <is>
          <t>"6ix9ine picks"</t>
        </is>
      </c>
      <c r="AB286" t="inlineStr">
        <is>
          <t>Single</t>
        </is>
      </c>
      <c r="AC286" s="5">
        <f>IF(ISNUMBER(V286),Q286,"")</f>
        <v/>
      </c>
      <c r="AD286">
        <f>IF(ISNUMBER(W286),R286,"")</f>
        <v/>
      </c>
    </row>
    <row r="287">
      <c r="A287" t="inlineStr">
        <is>
          <t>T-562060</t>
        </is>
      </c>
      <c r="B287" t="inlineStr">
        <is>
          <t>Trent</t>
        </is>
      </c>
      <c r="C287" s="2" t="n">
        <v>46281.90541666667</v>
      </c>
      <c r="D287">
        <f>IF(C287="","",TEXT(C287,"dddd"))</f>
        <v/>
      </c>
      <c r="E287" s="3" t="n">
        <v>46282</v>
      </c>
      <c r="F287">
        <f>IF(E287="","",TEXT(E287,"dddd"))</f>
        <v/>
      </c>
      <c r="G287" t="inlineStr">
        <is>
          <t>8:15 PM</t>
        </is>
      </c>
      <c r="H287" t="inlineStr">
        <is>
          <t>Y</t>
        </is>
      </c>
      <c r="I287" t="inlineStr">
        <is>
          <t>TNF</t>
        </is>
      </c>
      <c r="J287" t="inlineStr">
        <is>
          <t>NFL</t>
        </is>
      </c>
      <c r="K287" t="inlineStr">
        <is>
          <t>NFL</t>
        </is>
      </c>
      <c r="L287" t="inlineStr">
        <is>
          <t>PrizePicks/DFS</t>
        </is>
      </c>
      <c r="M287" t="inlineStr">
        <is>
          <t>Jameson Williams o12 fantasy score; Jared Goff o36 pass attempts; Sam LaPorta o46.5 rec yds; Josh Allen o7 rush attempts; James Cook III o78.5 rush yds; Khalil Shakir o44.5 rec yds</t>
        </is>
      </c>
      <c r="N287" t="n">
        <v>6</v>
      </c>
      <c r="O287" t="inlineStr">
        <is>
          <t>not shown</t>
        </is>
      </c>
      <c r="P287" s="4" t="n">
        <v>20</v>
      </c>
      <c r="Q287" s="5" t="n">
        <v>1000</v>
      </c>
      <c r="R287" t="inlineStr"/>
      <c r="S287" s="5" t="n">
        <v>20000</v>
      </c>
      <c r="T287" t="inlineStr">
        <is>
          <t>PrizePicks</t>
        </is>
      </c>
      <c r="U287" t="inlineStr">
        <is>
          <t>L</t>
        </is>
      </c>
      <c r="V287" s="5">
        <f>IF(NOT(ISNUMBER(Q287)),"",IF(U287="W",IF(ISNUMBER(S287),S287-Q287,IF(ISNUMBER(P287),Q287*(P287-1),"")),IF(U287="L",-Q287,IF(U287="Push",0,""))))</f>
        <v/>
      </c>
      <c r="W287">
        <f>IF(NOT(ISNUMBER(R287)),"",IF(U287="W",IF(ISNUMBER(P287),R287*(P287-1),""),IF(U287="L",-R287,IF(U287="Push",0,""))))</f>
        <v/>
      </c>
      <c r="X287" t="inlineStr">
        <is>
          <t>graded from final</t>
        </is>
      </c>
      <c r="Y287" t="inlineStr">
        <is>
          <t>N</t>
        </is>
      </c>
      <c r="Z287" t="inlineStr">
        <is>
          <t>https://x.com/BookitWithTrent/status/2100415394502562060</t>
        </is>
      </c>
      <c r="AA287" t="inlineStr">
        <is>
          <t>"Thursday Night Scripture"; Final: Jameson Williams ~5.3 FS; Decimal odds derived from payout/stake</t>
        </is>
      </c>
      <c r="AB287" t="inlineStr">
        <is>
          <t>Parlay/multi-leg</t>
        </is>
      </c>
      <c r="AC287" s="5">
        <f>IF(ISNUMBER(V287),Q287,"")</f>
        <v/>
      </c>
      <c r="AD287">
        <f>IF(ISNUMBER(W287),R287,"")</f>
        <v/>
      </c>
    </row>
    <row r="288">
      <c r="A288" t="inlineStr">
        <is>
          <t>S-065570</t>
        </is>
      </c>
      <c r="B288" t="inlineStr">
        <is>
          <t>Steve</t>
        </is>
      </c>
      <c r="C288" s="2" t="n">
        <v>46281.97236111111</v>
      </c>
      <c r="D288">
        <f>IF(C288="","",TEXT(C288,"dddd"))</f>
        <v/>
      </c>
      <c r="E288" s="3" t="n">
        <v>46282</v>
      </c>
      <c r="F288">
        <f>IF(E288="","",TEXT(E288,"dddd"))</f>
        <v/>
      </c>
      <c r="G288" t="inlineStr">
        <is>
          <t>8:15 PM</t>
        </is>
      </c>
      <c r="H288" t="inlineStr">
        <is>
          <t>Y</t>
        </is>
      </c>
      <c r="I288" t="inlineStr">
        <is>
          <t>TNF</t>
        </is>
      </c>
      <c r="J288" t="inlineStr">
        <is>
          <t>NFL</t>
        </is>
      </c>
      <c r="K288" t="inlineStr">
        <is>
          <t>NFL</t>
        </is>
      </c>
      <c r="L288" t="inlineStr">
        <is>
          <t>spread</t>
        </is>
      </c>
      <c r="M288" t="inlineStr">
        <is>
          <t>Detroit Lions +1.5 alt spread vs Buffalo Bills (TNF)</t>
        </is>
      </c>
      <c r="N288" t="n">
        <v>1</v>
      </c>
      <c r="O288" t="inlineStr">
        <is>
          <t>+150</t>
        </is>
      </c>
      <c r="P288" s="4" t="n">
        <v>2.5</v>
      </c>
      <c r="Q288" s="5" t="n">
        <v>1000000</v>
      </c>
      <c r="R288" t="inlineStr"/>
      <c r="S288" s="5" t="n">
        <v>2500000</v>
      </c>
      <c r="T288" t="inlineStr">
        <is>
          <t>Red Rock (sportsbook)</t>
        </is>
      </c>
      <c r="U288" t="inlineStr">
        <is>
          <t>L</t>
        </is>
      </c>
      <c r="V288" s="5">
        <f>IF(NOT(ISNUMBER(Q288)),"",IF(U288="W",IF(ISNUMBER(S288),S288-Q288,IF(ISNUMBER(P288),Q288*(P288-1),"")),IF(U288="L",-Q288,IF(U288="Push",0,""))))</f>
        <v/>
      </c>
      <c r="W288">
        <f>IF(NOT(ISNUMBER(R288)),"",IF(U288="W",IF(ISNUMBER(P288),R288*(P288-1),""),IF(U288="L",-R288,IF(U288="Push",0,""))))</f>
        <v/>
      </c>
      <c r="X288" t="inlineStr">
        <is>
          <t>posted</t>
        </is>
      </c>
      <c r="Y288" t="inlineStr">
        <is>
          <t>N</t>
        </is>
      </c>
      <c r="Z288" t="inlineStr">
        <is>
          <t>https://x.com/stevewilldoit/status/2100439655481065570</t>
        </is>
      </c>
      <c r="AA288" t="inlineStr">
        <is>
          <t>Red Rock ticket "$1,000,000 to win $1,500,000"; not a Gamdom bet</t>
        </is>
      </c>
      <c r="AB288" t="inlineStr">
        <is>
          <t>Single</t>
        </is>
      </c>
      <c r="AC288" s="5">
        <f>IF(ISNUMBER(V288),Q288,"")</f>
        <v/>
      </c>
      <c r="AD288">
        <f>IF(ISNUMBER(W288),R288,"")</f>
        <v/>
      </c>
    </row>
    <row r="289">
      <c r="A289" t="inlineStr">
        <is>
          <t>T-750552</t>
        </is>
      </c>
      <c r="B289" t="inlineStr">
        <is>
          <t>Trent</t>
        </is>
      </c>
      <c r="C289" s="2" t="n">
        <v>46282.45472222222</v>
      </c>
      <c r="D289">
        <f>IF(C289="","",TEXT(C289,"dddd"))</f>
        <v/>
      </c>
      <c r="E289" s="3" t="n">
        <v>46282</v>
      </c>
      <c r="F289">
        <f>IF(E289="","",TEXT(E289,"dddd"))</f>
        <v/>
      </c>
      <c r="G289" t="inlineStr">
        <is>
          <t>8:15 PM</t>
        </is>
      </c>
      <c r="H289" t="inlineStr">
        <is>
          <t>Y</t>
        </is>
      </c>
      <c r="I289" t="inlineStr">
        <is>
          <t>TNF</t>
        </is>
      </c>
      <c r="J289" t="inlineStr">
        <is>
          <t>NFL</t>
        </is>
      </c>
      <c r="K289" t="inlineStr">
        <is>
          <t>NFL</t>
        </is>
      </c>
      <c r="L289" t="inlineStr">
        <is>
          <t>spread</t>
        </is>
      </c>
      <c r="M289" t="inlineStr">
        <is>
          <t>Detroit Lions +5.5 vs Bills (TNF)</t>
        </is>
      </c>
      <c r="N289" t="n">
        <v>1</v>
      </c>
      <c r="O289" t="inlineStr">
        <is>
          <t>not shown</t>
        </is>
      </c>
      <c r="P289" s="4" t="inlineStr"/>
      <c r="Q289" s="5" t="inlineStr"/>
      <c r="R289" t="n">
        <v>5</v>
      </c>
      <c r="S289" s="5" t="inlineStr"/>
      <c r="T289" t="inlineStr">
        <is>
          <t>not shown</t>
        </is>
      </c>
      <c r="U289" t="inlineStr">
        <is>
          <t>L</t>
        </is>
      </c>
      <c r="V289" s="5">
        <f>IF(NOT(ISNUMBER(Q289)),"",IF(U289="W",IF(ISNUMBER(S289),S289-Q289,IF(ISNUMBER(P289),Q289*(P289-1),"")),IF(U289="L",-Q289,IF(U289="Push",0,""))))</f>
        <v/>
      </c>
      <c r="W289">
        <f>IF(NOT(ISNUMBER(R289)),"",IF(U289="W",IF(ISNUMBER(P289),R289*(P289-1),""),IF(U289="L",-R289,IF(U289="Push",0,""))))</f>
        <v/>
      </c>
      <c r="X289" t="inlineStr">
        <is>
          <t>posted</t>
        </is>
      </c>
      <c r="Y289" t="inlineStr">
        <is>
          <t>N</t>
        </is>
      </c>
      <c r="Z289" t="inlineStr">
        <is>
          <t>https://x.com/BookitWithTrent/status/2100614458011750552</t>
        </is>
      </c>
      <c r="AA289" t="inlineStr">
        <is>
          <t>"Thursday Night Mortal Mega Max" 5U; "it didn't hit, shocker"; a later recap lists it as Lions +4.5</t>
        </is>
      </c>
      <c r="AB289" t="inlineStr">
        <is>
          <t>Single</t>
        </is>
      </c>
      <c r="AC289" s="5">
        <f>IF(ISNUMBER(V289),Q289,"")</f>
        <v/>
      </c>
      <c r="AD289">
        <f>IF(ISNUMBER(W289),R289,"")</f>
        <v/>
      </c>
    </row>
    <row r="290">
      <c r="A290" t="inlineStr">
        <is>
          <t>S-601147</t>
        </is>
      </c>
      <c r="B290" t="inlineStr">
        <is>
          <t>Steve</t>
        </is>
      </c>
      <c r="C290" s="2" t="n">
        <v>46282.55059027778</v>
      </c>
      <c r="D290">
        <f>IF(C290="","",TEXT(C290,"dddd"))</f>
        <v/>
      </c>
      <c r="E290" s="3" t="n">
        <v>46282</v>
      </c>
      <c r="F290">
        <f>IF(E290="","",TEXT(E290,"dddd"))</f>
        <v/>
      </c>
      <c r="G290" t="inlineStr">
        <is>
          <t>8:15 PM</t>
        </is>
      </c>
      <c r="H290" t="inlineStr">
        <is>
          <t>Y</t>
        </is>
      </c>
      <c r="I290" t="inlineStr">
        <is>
          <t>TNF</t>
        </is>
      </c>
      <c r="J290" t="inlineStr">
        <is>
          <t>NFL</t>
        </is>
      </c>
      <c r="K290" t="inlineStr">
        <is>
          <t>NFL</t>
        </is>
      </c>
      <c r="L290" t="inlineStr">
        <is>
          <t>spread</t>
        </is>
      </c>
      <c r="M290" t="inlineStr">
        <is>
          <t>Detroit Lions +1.5 vs Buffalo Bills (TNF)</t>
        </is>
      </c>
      <c r="N290" t="n">
        <v>1</v>
      </c>
      <c r="O290" t="inlineStr">
        <is>
          <t>+177</t>
        </is>
      </c>
      <c r="P290" s="4" t="n">
        <v>2.77</v>
      </c>
      <c r="Q290" s="5" t="n">
        <v>500000</v>
      </c>
      <c r="R290" t="inlineStr"/>
      <c r="S290" s="5" t="n">
        <v>1385000</v>
      </c>
      <c r="T290" t="inlineStr">
        <is>
          <t>Gamdom</t>
        </is>
      </c>
      <c r="U290" t="inlineStr">
        <is>
          <t>L</t>
        </is>
      </c>
      <c r="V290" s="5">
        <f>IF(NOT(ISNUMBER(Q290)),"",IF(U290="W",IF(ISNUMBER(S290),S290-Q290,IF(ISNUMBER(P290),Q290*(P290-1),"")),IF(U290="L",-Q290,IF(U290="Push",0,""))))</f>
        <v/>
      </c>
      <c r="W290">
        <f>IF(NOT(ISNUMBER(R290)),"",IF(U290="W",IF(ISNUMBER(P290),R290*(P290-1),""),IF(U290="L",-R290,IF(U290="Push",0,""))))</f>
        <v/>
      </c>
      <c r="X290" t="inlineStr">
        <is>
          <t>posted</t>
        </is>
      </c>
      <c r="Y290" t="inlineStr">
        <is>
          <t>Y - tags Gamdom</t>
        </is>
      </c>
      <c r="Z290" t="inlineStr">
        <is>
          <t>https://x.com/stevewilldoit/status/2100649196319601147</t>
        </is>
      </c>
      <c r="AA290" t="inlineStr">
        <is>
          <t>"$1,500,000 total on the lions +1.5"</t>
        </is>
      </c>
      <c r="AB290" t="inlineStr">
        <is>
          <t>Single</t>
        </is>
      </c>
      <c r="AC290" s="5">
        <f>IF(ISNUMBER(V290),Q290,"")</f>
        <v/>
      </c>
      <c r="AD290">
        <f>IF(ISNUMBER(W290),R290,"")</f>
        <v/>
      </c>
    </row>
    <row r="291">
      <c r="A291" t="inlineStr">
        <is>
          <t>T-664104</t>
        </is>
      </c>
      <c r="B291" t="inlineStr">
        <is>
          <t>Trent</t>
        </is>
      </c>
      <c r="C291" s="2" t="n">
        <v>46282.69056712963</v>
      </c>
      <c r="D291">
        <f>IF(C291="","",TEXT(C291,"dddd"))</f>
        <v/>
      </c>
      <c r="E291" s="3" t="n">
        <v>46282</v>
      </c>
      <c r="F291">
        <f>IF(E291="","",TEXT(E291,"dddd"))</f>
        <v/>
      </c>
      <c r="G291" t="inlineStr">
        <is>
          <t>8:15 PM</t>
        </is>
      </c>
      <c r="H291" t="inlineStr">
        <is>
          <t>Y</t>
        </is>
      </c>
      <c r="I291" t="inlineStr">
        <is>
          <t>TNF</t>
        </is>
      </c>
      <c r="J291" t="inlineStr">
        <is>
          <t>NFL</t>
        </is>
      </c>
      <c r="K291" t="inlineStr">
        <is>
          <t>NFL</t>
        </is>
      </c>
      <c r="L291" t="inlineStr">
        <is>
          <t>first TD</t>
        </is>
      </c>
      <c r="M291" t="inlineStr">
        <is>
          <t>Sam LaPorta first TD scorer (TNF)</t>
        </is>
      </c>
      <c r="N291" t="n">
        <v>1</v>
      </c>
      <c r="O291" t="inlineStr">
        <is>
          <t>+1600</t>
        </is>
      </c>
      <c r="P291" s="4" t="n">
        <v>17</v>
      </c>
      <c r="Q291" s="5" t="inlineStr"/>
      <c r="R291" t="inlineStr"/>
      <c r="S291" s="5" t="inlineStr"/>
      <c r="T291" t="inlineStr">
        <is>
          <t>not shown</t>
        </is>
      </c>
      <c r="U291" t="inlineStr">
        <is>
          <t>L</t>
        </is>
      </c>
      <c r="V291" s="5">
        <f>IF(NOT(ISNUMBER(Q291)),"",IF(U291="W",IF(ISNUMBER(S291),S291-Q291,IF(ISNUMBER(P291),Q291*(P291-1),"")),IF(U291="L",-Q291,IF(U291="Push",0,""))))</f>
        <v/>
      </c>
      <c r="W291">
        <f>IF(NOT(ISNUMBER(R291)),"",IF(U291="W",IF(ISNUMBER(P291),R291*(P291-1),""),IF(U291="L",-R291,IF(U291="Push",0,""))))</f>
        <v/>
      </c>
      <c r="X291" t="inlineStr">
        <is>
          <t>posted</t>
        </is>
      </c>
      <c r="Y291" t="inlineStr">
        <is>
          <t>N</t>
        </is>
      </c>
      <c r="Z291" t="inlineStr">
        <is>
          <t>https://x.com/BookitWithTrent/status/2100699921443664104</t>
        </is>
      </c>
      <c r="AA291" t="inlineStr">
        <is>
          <t>"congrats to josh allen first TD +150 bettors"; record moved to 0-5</t>
        </is>
      </c>
      <c r="AB291" t="inlineStr">
        <is>
          <t>Single</t>
        </is>
      </c>
      <c r="AC291" s="5">
        <f>IF(ISNUMBER(V291),Q291,"")</f>
        <v/>
      </c>
      <c r="AD291">
        <f>IF(ISNUMBER(W291),R291,"")</f>
        <v/>
      </c>
    </row>
    <row r="292">
      <c r="A292" t="inlineStr">
        <is>
          <t>S-561185</t>
        </is>
      </c>
      <c r="B292" t="inlineStr">
        <is>
          <t>Steve</t>
        </is>
      </c>
      <c r="C292" s="2" t="n">
        <v>46283.46474537037</v>
      </c>
      <c r="D292">
        <f>IF(C292="","",TEXT(C292,"dddd"))</f>
        <v/>
      </c>
      <c r="E292" s="3" t="n">
        <v>46283</v>
      </c>
      <c r="F292">
        <f>IF(E292="","",TEXT(E292,"dddd"))</f>
        <v/>
      </c>
      <c r="G292" t="inlineStr">
        <is>
          <t>8:05 PM</t>
        </is>
      </c>
      <c r="H292" t="inlineStr">
        <is>
          <t>N</t>
        </is>
      </c>
      <c r="I292" t="inlineStr"/>
      <c r="J292" t="inlineStr">
        <is>
          <t>MLB</t>
        </is>
      </c>
      <c r="K292" t="inlineStr">
        <is>
          <t>MLB</t>
        </is>
      </c>
      <c r="L292" t="inlineStr">
        <is>
          <t>spread</t>
        </is>
      </c>
      <c r="M292" t="inlineStr">
        <is>
          <t>Toronto Blue Jays F5 handicap (0) vs Texas Rangers</t>
        </is>
      </c>
      <c r="N292" t="n">
        <v>1</v>
      </c>
      <c r="O292" t="inlineStr">
        <is>
          <t>-154</t>
        </is>
      </c>
      <c r="P292" s="4" t="n">
        <v>1.6494</v>
      </c>
      <c r="Q292" s="5" t="n">
        <v>90000</v>
      </c>
      <c r="R292" t="inlineStr"/>
      <c r="S292" s="5" t="n">
        <v>148500</v>
      </c>
      <c r="T292" t="inlineStr">
        <is>
          <t>Gamdom</t>
        </is>
      </c>
      <c r="U292" t="inlineStr">
        <is>
          <t>L</t>
        </is>
      </c>
      <c r="V292" s="5">
        <f>IF(NOT(ISNUMBER(Q292)),"",IF(U292="W",IF(ISNUMBER(S292),S292-Q292,IF(ISNUMBER(P292),Q292*(P292-1),"")),IF(U292="L",-Q292,IF(U292="Push",0,""))))</f>
        <v/>
      </c>
      <c r="W292">
        <f>IF(NOT(ISNUMBER(R292)),"",IF(U292="W",IF(ISNUMBER(P292),R292*(P292-1),""),IF(U292="L",-R292,IF(U292="Push",0,""))))</f>
        <v/>
      </c>
      <c r="X292" t="inlineStr">
        <is>
          <t>graded from final</t>
        </is>
      </c>
      <c r="Y292" t="inlineStr">
        <is>
          <t>Y - tags Gamdom</t>
        </is>
      </c>
      <c r="Z292" t="inlineStr">
        <is>
          <t>https://x.com/stevewilldoit/status/2100980477775561185</t>
        </is>
      </c>
      <c r="AA292" t="inlineStr">
        <is>
          <t>AI guy pick</t>
        </is>
      </c>
      <c r="AB292" t="inlineStr">
        <is>
          <t>Single</t>
        </is>
      </c>
      <c r="AC292" s="5">
        <f>IF(ISNUMBER(V292),Q292,"")</f>
        <v/>
      </c>
      <c r="AD292">
        <f>IF(ISNUMBER(W292),R292,"")</f>
        <v/>
      </c>
    </row>
    <row r="293">
      <c r="A293" t="inlineStr">
        <is>
          <t>S-561185b</t>
        </is>
      </c>
      <c r="B293" t="inlineStr">
        <is>
          <t>Steve</t>
        </is>
      </c>
      <c r="C293" s="2" t="n">
        <v>46283.46474537037</v>
      </c>
      <c r="D293">
        <f>IF(C293="","",TEXT(C293,"dddd"))</f>
        <v/>
      </c>
      <c r="E293" s="3" t="n">
        <v>46283</v>
      </c>
      <c r="F293">
        <f>IF(E293="","",TEXT(E293,"dddd"))</f>
        <v/>
      </c>
      <c r="G293" t="inlineStr">
        <is>
          <t>8:00 PM</t>
        </is>
      </c>
      <c r="H293" t="inlineStr">
        <is>
          <t>Y</t>
        </is>
      </c>
      <c r="I293" t="inlineStr">
        <is>
          <t>CFB weeknight (Tue-Fri)</t>
        </is>
      </c>
      <c r="J293" t="inlineStr">
        <is>
          <t>CFB</t>
        </is>
      </c>
      <c r="K293" t="inlineStr">
        <is>
          <t>NCAAF</t>
        </is>
      </c>
      <c r="L293" t="inlineStr">
        <is>
          <t>spread</t>
        </is>
      </c>
      <c r="M293" t="inlineStr">
        <is>
          <t>Houston Cougars +9.5 vs Texas Tech</t>
        </is>
      </c>
      <c r="N293" t="n">
        <v>1</v>
      </c>
      <c r="O293" t="inlineStr">
        <is>
          <t>-123</t>
        </is>
      </c>
      <c r="P293" s="4" t="n">
        <v>1.813</v>
      </c>
      <c r="Q293" s="5" t="n">
        <v>90000</v>
      </c>
      <c r="R293" t="inlineStr"/>
      <c r="S293" s="5" t="n">
        <v>162900</v>
      </c>
      <c r="T293" t="inlineStr">
        <is>
          <t>Gamdom</t>
        </is>
      </c>
      <c r="U293" t="inlineStr">
        <is>
          <t>W</t>
        </is>
      </c>
      <c r="V293" s="5">
        <f>IF(NOT(ISNUMBER(Q293)),"",IF(U293="W",IF(ISNUMBER(S293),S293-Q293,IF(ISNUMBER(P293),Q293*(P293-1),"")),IF(U293="L",-Q293,IF(U293="Push",0,""))))</f>
        <v/>
      </c>
      <c r="W293">
        <f>IF(NOT(ISNUMBER(R293)),"",IF(U293="W",IF(ISNUMBER(P293),R293*(P293-1),""),IF(U293="L",-R293,IF(U293="Push",0,""))))</f>
        <v/>
      </c>
      <c r="X293" t="inlineStr">
        <is>
          <t>graded from final</t>
        </is>
      </c>
      <c r="Y293" t="inlineStr">
        <is>
          <t>Y - tags Gamdom</t>
        </is>
      </c>
      <c r="Z293" t="inlineStr">
        <is>
          <t>https://x.com/stevewilldoit/status/2100980477775561185</t>
        </is>
      </c>
      <c r="AA293" t="inlineStr">
        <is>
          <t>AI guy pick</t>
        </is>
      </c>
      <c r="AB293" t="inlineStr">
        <is>
          <t>Single</t>
        </is>
      </c>
      <c r="AC293" s="5">
        <f>IF(ISNUMBER(V293),Q293,"")</f>
        <v/>
      </c>
      <c r="AD293">
        <f>IF(ISNUMBER(W293),R293,"")</f>
        <v/>
      </c>
    </row>
    <row r="294">
      <c r="A294" t="inlineStr">
        <is>
          <t>S-033055</t>
        </is>
      </c>
      <c r="B294" t="inlineStr">
        <is>
          <t>Steve</t>
        </is>
      </c>
      <c r="C294" s="2" t="n">
        <v>46283.48512731482</v>
      </c>
      <c r="D294">
        <f>IF(C294="","",TEXT(C294,"dddd"))</f>
        <v/>
      </c>
      <c r="E294" s="3" t="n">
        <v>46283</v>
      </c>
      <c r="F294">
        <f>IF(E294="","",TEXT(E294,"dddd"))</f>
        <v/>
      </c>
      <c r="G294" t="inlineStr">
        <is>
          <t>7:05 PM</t>
        </is>
      </c>
      <c r="H294" t="inlineStr">
        <is>
          <t>N</t>
        </is>
      </c>
      <c r="I294" t="inlineStr"/>
      <c r="J294" t="inlineStr">
        <is>
          <t>MLB</t>
        </is>
      </c>
      <c r="K294" t="inlineStr">
        <is>
          <t>MLB</t>
        </is>
      </c>
      <c r="L294" t="inlineStr">
        <is>
          <t>ML</t>
        </is>
      </c>
      <c r="M294" t="inlineStr">
        <is>
          <t>Milwaukee Brewers ML vs Baltimore Orioles</t>
        </is>
      </c>
      <c r="N294" t="n">
        <v>1</v>
      </c>
      <c r="O294" t="inlineStr">
        <is>
          <t>-152</t>
        </is>
      </c>
      <c r="P294" s="4" t="n">
        <v>1.6579</v>
      </c>
      <c r="Q294" s="5" t="n">
        <v>89500</v>
      </c>
      <c r="R294" t="inlineStr"/>
      <c r="S294" s="5" t="n">
        <v>148570</v>
      </c>
      <c r="T294" t="inlineStr">
        <is>
          <t>Gamdom</t>
        </is>
      </c>
      <c r="U294" t="inlineStr">
        <is>
          <t>W</t>
        </is>
      </c>
      <c r="V294" s="5">
        <f>IF(NOT(ISNUMBER(Q294)),"",IF(U294="W",IF(ISNUMBER(S294),S294-Q294,IF(ISNUMBER(P294),Q294*(P294-1),"")),IF(U294="L",-Q294,IF(U294="Push",0,""))))</f>
        <v/>
      </c>
      <c r="W294">
        <f>IF(NOT(ISNUMBER(R294)),"",IF(U294="W",IF(ISNUMBER(P294),R294*(P294-1),""),IF(U294="L",-R294,IF(U294="Push",0,""))))</f>
        <v/>
      </c>
      <c r="X294" t="inlineStr">
        <is>
          <t>graded from final</t>
        </is>
      </c>
      <c r="Y294" t="inlineStr">
        <is>
          <t>Y - tags Gamdom</t>
        </is>
      </c>
      <c r="Z294" t="inlineStr">
        <is>
          <t>https://x.com/stevewilldoit/status/2100987862741033055</t>
        </is>
      </c>
      <c r="AA294" t="inlineStr">
        <is>
          <t>"6ix9ine lock of day"</t>
        </is>
      </c>
      <c r="AB294" t="inlineStr">
        <is>
          <t>Single</t>
        </is>
      </c>
      <c r="AC294" s="5">
        <f>IF(ISNUMBER(V294),Q294,"")</f>
        <v/>
      </c>
      <c r="AD294">
        <f>IF(ISNUMBER(W294),R294,"")</f>
        <v/>
      </c>
    </row>
    <row r="295">
      <c r="A295" t="inlineStr">
        <is>
          <t>S-891615</t>
        </is>
      </c>
      <c r="B295" t="inlineStr">
        <is>
          <t>Steve</t>
        </is>
      </c>
      <c r="C295" s="2" t="n">
        <v>46283.58369212963</v>
      </c>
      <c r="D295">
        <f>IF(C295="","",TEXT(C295,"dddd"))</f>
        <v/>
      </c>
      <c r="E295" s="3" t="n">
        <v>46283</v>
      </c>
      <c r="F295">
        <f>IF(E295="","",TEXT(E295,"dddd"))</f>
        <v/>
      </c>
      <c r="G295" t="inlineStr">
        <is>
          <t>6:40 PM</t>
        </is>
      </c>
      <c r="H295" t="inlineStr">
        <is>
          <t>N</t>
        </is>
      </c>
      <c r="I295" t="inlineStr"/>
      <c r="J295" t="inlineStr">
        <is>
          <t>MLB</t>
        </is>
      </c>
      <c r="K295" t="inlineStr">
        <is>
          <t>MLB</t>
        </is>
      </c>
      <c r="L295" t="inlineStr">
        <is>
          <t>total</t>
        </is>
      </c>
      <c r="M295" t="inlineStr">
        <is>
          <t>Reds/Cubs F5 Under 4.5</t>
        </is>
      </c>
      <c r="N295" t="n">
        <v>1</v>
      </c>
      <c r="O295" t="inlineStr">
        <is>
          <t>-143</t>
        </is>
      </c>
      <c r="P295" s="4" t="n">
        <v>1.6993</v>
      </c>
      <c r="Q295" s="5" t="n">
        <v>75000</v>
      </c>
      <c r="R295" t="inlineStr"/>
      <c r="S295" s="5" t="n">
        <v>127500</v>
      </c>
      <c r="T295" t="inlineStr">
        <is>
          <t>Gamdom</t>
        </is>
      </c>
      <c r="U295" t="inlineStr">
        <is>
          <t>L</t>
        </is>
      </c>
      <c r="V295" s="5">
        <f>IF(NOT(ISNUMBER(Q295)),"",IF(U295="W",IF(ISNUMBER(S295),S295-Q295,IF(ISNUMBER(P295),Q295*(P295-1),"")),IF(U295="L",-Q295,IF(U295="Push",0,""))))</f>
        <v/>
      </c>
      <c r="W295">
        <f>IF(NOT(ISNUMBER(R295)),"",IF(U295="W",IF(ISNUMBER(P295),R295*(P295-1),""),IF(U295="L",-R295,IF(U295="Push",0,""))))</f>
        <v/>
      </c>
      <c r="X295" t="inlineStr">
        <is>
          <t>graded from final</t>
        </is>
      </c>
      <c r="Y295" t="inlineStr">
        <is>
          <t>Y - tags Gamdom</t>
        </is>
      </c>
      <c r="Z295" t="inlineStr">
        <is>
          <t>https://x.com/stevewilldoit/status/2101023580632891615</t>
        </is>
      </c>
      <c r="AA295" t="inlineStr">
        <is>
          <t>AI guy pick</t>
        </is>
      </c>
      <c r="AB295" t="inlineStr">
        <is>
          <t>Single</t>
        </is>
      </c>
      <c r="AC295" s="5">
        <f>IF(ISNUMBER(V295),Q295,"")</f>
        <v/>
      </c>
      <c r="AD295">
        <f>IF(ISNUMBER(W295),R295,"")</f>
        <v/>
      </c>
    </row>
    <row r="296">
      <c r="A296" t="inlineStr">
        <is>
          <t>T-635813</t>
        </is>
      </c>
      <c r="B296" t="inlineStr">
        <is>
          <t>Trent</t>
        </is>
      </c>
      <c r="C296" s="2" t="n">
        <v>46283.6953587963</v>
      </c>
      <c r="D296">
        <f>IF(C296="","",TEXT(C296,"dddd"))</f>
        <v/>
      </c>
      <c r="E296" s="3" t="n">
        <v>46284</v>
      </c>
      <c r="F296">
        <f>IF(E296="","",TEXT(E296,"dddd"))</f>
        <v/>
      </c>
      <c r="G296" t="inlineStr">
        <is>
          <t>not matched</t>
        </is>
      </c>
      <c r="H296" t="inlineStr">
        <is>
          <t>Unknown</t>
        </is>
      </c>
      <c r="I296" t="inlineStr">
        <is>
          <t>kickoff not matched</t>
        </is>
      </c>
      <c r="J296" t="inlineStr">
        <is>
          <t>CFB</t>
        </is>
      </c>
      <c r="K296" t="inlineStr">
        <is>
          <t>NCAAF</t>
        </is>
      </c>
      <c r="L296" t="inlineStr">
        <is>
          <t>PrizePicks/DFS</t>
        </is>
      </c>
      <c r="M296" t="inlineStr">
        <is>
          <t>Ole Miss win vs LSU; Dilin Jones u78.5 rush yds; Kewan Lacy o0.5 TDs; Trinidad Chambliss o277.5 pass yds; Trey'Dez Green o59.5 rec yds</t>
        </is>
      </c>
      <c r="N296" t="n">
        <v>5</v>
      </c>
      <c r="O296" t="inlineStr">
        <is>
          <t>+1250</t>
        </is>
      </c>
      <c r="P296" s="4" t="n">
        <v>13.5</v>
      </c>
      <c r="Q296" s="5" t="n">
        <v>500</v>
      </c>
      <c r="R296" t="inlineStr"/>
      <c r="S296" s="5" t="n">
        <v>6750</v>
      </c>
      <c r="T296" t="inlineStr">
        <is>
          <t>PrizePicks</t>
        </is>
      </c>
      <c r="U296" t="inlineStr">
        <is>
          <t>L</t>
        </is>
      </c>
      <c r="V296" s="5">
        <f>IF(NOT(ISNUMBER(Q296)),"",IF(U296="W",IF(ISNUMBER(S296),S296-Q296,IF(ISNUMBER(P296),Q296*(P296-1),"")),IF(U296="L",-Q296,IF(U296="Push",0,""))))</f>
        <v/>
      </c>
      <c r="W296">
        <f>IF(NOT(ISNUMBER(R296)),"",IF(U296="W",IF(ISNUMBER(P296),R296*(P296-1),""),IF(U296="L",-R296,IF(U296="Push",0,""))))</f>
        <v/>
      </c>
      <c r="X296" t="inlineStr">
        <is>
          <t>graded from final</t>
        </is>
      </c>
      <c r="Y296" t="inlineStr">
        <is>
          <t>Y - tags PrizePicks</t>
        </is>
      </c>
      <c r="Z296" t="inlineStr">
        <is>
          <t>https://x.com/BookitWithTrent/status/2101064047160635813</t>
        </is>
      </c>
      <c r="AA296" t="inlineStr">
        <is>
          <t>PrizePicks promo post; reply 491257 shows 3 identical $500 slips (counted once); Final: Dilin Jones 106 rush yds</t>
        </is>
      </c>
      <c r="AB296" t="inlineStr">
        <is>
          <t>Parlay/multi-leg</t>
        </is>
      </c>
      <c r="AC296" s="5">
        <f>IF(ISNUMBER(V296),Q296,"")</f>
        <v/>
      </c>
      <c r="AD296">
        <f>IF(ISNUMBER(W296),R296,"")</f>
        <v/>
      </c>
    </row>
    <row r="297">
      <c r="A297" t="inlineStr">
        <is>
          <t>S-720836</t>
        </is>
      </c>
      <c r="B297" t="inlineStr">
        <is>
          <t>Steve</t>
        </is>
      </c>
      <c r="C297" s="2" t="n">
        <v>46283.75553240741</v>
      </c>
      <c r="D297">
        <f>IF(C297="","",TEXT(C297,"dddd"))</f>
        <v/>
      </c>
      <c r="E297" s="3" t="n">
        <v>46283</v>
      </c>
      <c r="F297">
        <f>IF(E297="","",TEXT(E297,"dddd"))</f>
        <v/>
      </c>
      <c r="G297" t="inlineStr">
        <is>
          <t>not matched</t>
        </is>
      </c>
      <c r="H297" t="inlineStr">
        <is>
          <t>N</t>
        </is>
      </c>
      <c r="I297" t="inlineStr"/>
      <c r="J297" t="inlineStr">
        <is>
          <t>Other</t>
        </is>
      </c>
      <c r="K297" t="inlineStr">
        <is>
          <t>CFB + WNBA</t>
        </is>
      </c>
      <c r="L297" t="inlineStr">
        <is>
          <t>parlay</t>
        </is>
      </c>
      <c r="M297" t="inlineStr">
        <is>
          <t>Texas Tech ML vs Houston (CFB); Minnesota Lynx vs NY Liberty winner (selection not shown)</t>
        </is>
      </c>
      <c r="N297" t="n">
        <v>2</v>
      </c>
      <c r="O297" t="inlineStr">
        <is>
          <t>-111</t>
        </is>
      </c>
      <c r="P297" s="4" t="n">
        <v>1.9009</v>
      </c>
      <c r="Q297" s="5" t="n">
        <v>100009</v>
      </c>
      <c r="R297" t="inlineStr"/>
      <c r="S297" s="5" t="n">
        <v>190017.1</v>
      </c>
      <c r="T297" t="inlineStr">
        <is>
          <t>Gamdom</t>
        </is>
      </c>
      <c r="U297" t="inlineStr">
        <is>
          <t>Unknown</t>
        </is>
      </c>
      <c r="V297" s="5">
        <f>IF(NOT(ISNUMBER(Q297)),"",IF(U297="W",IF(ISNUMBER(S297),S297-Q297,IF(ISNUMBER(P297),Q297*(P297-1),"")),IF(U297="L",-Q297,IF(U297="Push",0,""))))</f>
        <v/>
      </c>
      <c r="W297">
        <f>IF(NOT(ISNUMBER(R297)),"",IF(U297="W",IF(ISNUMBER(P297),R297*(P297-1),""),IF(U297="L",-R297,IF(U297="Push",0,""))))</f>
        <v/>
      </c>
      <c r="X297" t="inlineStr">
        <is>
          <t>unverified</t>
        </is>
      </c>
      <c r="Y297" t="inlineStr">
        <is>
          <t>Y - tags Gamdom</t>
        </is>
      </c>
      <c r="Z297" t="inlineStr">
        <is>
          <t>https://x.com/stevewilldoit/status/2101085854315720836</t>
        </is>
      </c>
      <c r="AA297" t="inlineStr">
        <is>
          <t>"razzqlocks picks"; WNBA leg selection cut off</t>
        </is>
      </c>
      <c r="AB297" t="inlineStr">
        <is>
          <t>Parlay/multi-leg</t>
        </is>
      </c>
      <c r="AC297" s="5">
        <f>IF(ISNUMBER(V297),Q297,"")</f>
        <v/>
      </c>
      <c r="AD297">
        <f>IF(ISNUMBER(W297),R297,"")</f>
        <v/>
      </c>
    </row>
    <row r="298">
      <c r="A298" t="inlineStr">
        <is>
          <t>S-266150</t>
        </is>
      </c>
      <c r="B298" t="inlineStr">
        <is>
          <t>Steve</t>
        </is>
      </c>
      <c r="C298" s="2" t="n">
        <v>46283.78002314815</v>
      </c>
      <c r="D298">
        <f>IF(C298="","",TEXT(C298,"dddd"))</f>
        <v/>
      </c>
      <c r="E298" s="3" t="n">
        <v>46283</v>
      </c>
      <c r="F298">
        <f>IF(E298="","",TEXT(E298,"dddd"))</f>
        <v/>
      </c>
      <c r="G298" t="inlineStr">
        <is>
          <t>not matched</t>
        </is>
      </c>
      <c r="H298" t="inlineStr">
        <is>
          <t>N</t>
        </is>
      </c>
      <c r="I298" t="inlineStr"/>
      <c r="J298" t="inlineStr">
        <is>
          <t>MLB</t>
        </is>
      </c>
      <c r="K298" t="inlineStr">
        <is>
          <t>MLB</t>
        </is>
      </c>
      <c r="L298" t="inlineStr">
        <is>
          <t>parlay</t>
        </is>
      </c>
      <c r="M298" t="inlineStr">
        <is>
          <t>James Wood 1+ hits (STL@WSH); Ronald Acuna Jr 1+ hits (HOU vs ATL); Vladimir Guerrero Jr 1+ hits (TEX vs TOR)</t>
        </is>
      </c>
      <c r="N298" t="n">
        <v>3</v>
      </c>
      <c r="O298" t="inlineStr">
        <is>
          <t>+129</t>
        </is>
      </c>
      <c r="P298" s="4" t="n">
        <v>2.29</v>
      </c>
      <c r="Q298" s="5" t="n">
        <v>230000</v>
      </c>
      <c r="R298" t="inlineStr"/>
      <c r="S298" s="5" t="n">
        <v>526700</v>
      </c>
      <c r="T298" t="inlineStr">
        <is>
          <t>Gamdom</t>
        </is>
      </c>
      <c r="U298" t="inlineStr">
        <is>
          <t>W</t>
        </is>
      </c>
      <c r="V298" s="5">
        <f>IF(NOT(ISNUMBER(Q298)),"",IF(U298="W",IF(ISNUMBER(S298),S298-Q298,IF(ISNUMBER(P298),Q298*(P298-1),"")),IF(U298="L",-Q298,IF(U298="Push",0,""))))</f>
        <v/>
      </c>
      <c r="W298">
        <f>IF(NOT(ISNUMBER(R298)),"",IF(U298="W",IF(ISNUMBER(P298),R298*(P298-1),""),IF(U298="L",-R298,IF(U298="Push",0,""))))</f>
        <v/>
      </c>
      <c r="X298" t="inlineStr">
        <is>
          <t>graded from final</t>
        </is>
      </c>
      <c r="Y298" t="inlineStr">
        <is>
          <t>Y - tags Gamdom</t>
        </is>
      </c>
      <c r="Z298" t="inlineStr">
        <is>
          <t>https://x.com/stevewilldoit/status/2101094729899266150</t>
        </is>
      </c>
      <c r="AA298" t="inlineStr">
        <is>
          <t>"A dude at dinner came up to me gave me these picks"; slip split across 266150/595700; Final: Wood, Acuna, Vlad Jr each 1 hit</t>
        </is>
      </c>
      <c r="AB298" t="inlineStr">
        <is>
          <t>Parlay/multi-leg</t>
        </is>
      </c>
      <c r="AC298" s="5">
        <f>IF(ISNUMBER(V298),Q298,"")</f>
        <v/>
      </c>
      <c r="AD298">
        <f>IF(ISNUMBER(W298),R298,"")</f>
        <v/>
      </c>
    </row>
    <row r="299">
      <c r="A299" t="inlineStr">
        <is>
          <t>S-504864</t>
        </is>
      </c>
      <c r="B299" t="inlineStr">
        <is>
          <t>Steve</t>
        </is>
      </c>
      <c r="C299" s="2" t="n">
        <v>46283.89556712963</v>
      </c>
      <c r="D299">
        <f>IF(C299="","",TEXT(C299,"dddd"))</f>
        <v/>
      </c>
      <c r="E299" s="3" t="n">
        <v>46284</v>
      </c>
      <c r="F299">
        <f>IF(E299="","",TEXT(E299,"dddd"))</f>
        <v/>
      </c>
      <c r="G299" t="inlineStr">
        <is>
          <t>not matched</t>
        </is>
      </c>
      <c r="H299" t="inlineStr">
        <is>
          <t>N</t>
        </is>
      </c>
      <c r="I299" t="inlineStr"/>
      <c r="J299" t="inlineStr">
        <is>
          <t>Other</t>
        </is>
      </c>
      <c r="K299" t="inlineStr">
        <is>
          <t>UFC 331</t>
        </is>
      </c>
      <c r="L299" t="inlineStr">
        <is>
          <t>ML</t>
        </is>
      </c>
      <c r="M299" t="inlineStr">
        <is>
          <t>Joshua Van ML vs Alexandre Pantoja</t>
        </is>
      </c>
      <c r="N299" t="n">
        <v>1</v>
      </c>
      <c r="O299" t="inlineStr">
        <is>
          <t>-145</t>
        </is>
      </c>
      <c r="P299" s="4" t="n">
        <v>1.6897</v>
      </c>
      <c r="Q299" s="5" t="n">
        <v>200000</v>
      </c>
      <c r="R299" t="inlineStr"/>
      <c r="S299" s="5" t="n">
        <v>338000</v>
      </c>
      <c r="T299" t="inlineStr">
        <is>
          <t>Gamdom</t>
        </is>
      </c>
      <c r="U299" t="inlineStr">
        <is>
          <t>W</t>
        </is>
      </c>
      <c r="V299" s="5">
        <f>IF(NOT(ISNUMBER(Q299)),"",IF(U299="W",IF(ISNUMBER(S299),S299-Q299,IF(ISNUMBER(P299),Q299*(P299-1),"")),IF(U299="L",-Q299,IF(U299="Push",0,""))))</f>
        <v/>
      </c>
      <c r="W299">
        <f>IF(NOT(ISNUMBER(R299)),"",IF(U299="W",IF(ISNUMBER(P299),R299*(P299-1),""),IF(U299="L",-R299,IF(U299="Push",0,""))))</f>
        <v/>
      </c>
      <c r="X299" t="inlineStr">
        <is>
          <t>graded from final</t>
        </is>
      </c>
      <c r="Y299" t="inlineStr">
        <is>
          <t>Y - tags Gamdom</t>
        </is>
      </c>
      <c r="Z299" t="inlineStr">
        <is>
          <t>https://x.com/stevewilldoit/status/2101136601904504864</t>
        </is>
      </c>
      <c r="AA299" t="inlineStr">
        <is>
          <t>"My lock for tomorrow"; Razz pick; Final: Van def. Pantoja</t>
        </is>
      </c>
      <c r="AB299" t="inlineStr">
        <is>
          <t>Single</t>
        </is>
      </c>
      <c r="AC299" s="5">
        <f>IF(ISNUMBER(V299),Q299,"")</f>
        <v/>
      </c>
      <c r="AD299">
        <f>IF(ISNUMBER(W299),R299,"")</f>
        <v/>
      </c>
    </row>
    <row r="300">
      <c r="A300" t="inlineStr">
        <is>
          <t>S-007921</t>
        </is>
      </c>
      <c r="B300" t="inlineStr">
        <is>
          <t>Steve</t>
        </is>
      </c>
      <c r="C300" s="2" t="n">
        <v>46283.91861111111</v>
      </c>
      <c r="D300">
        <f>IF(C300="","",TEXT(C300,"dddd"))</f>
        <v/>
      </c>
      <c r="E300" s="3" t="n">
        <v>46284</v>
      </c>
      <c r="F300">
        <f>IF(E300="","",TEXT(E300,"dddd"))</f>
        <v/>
      </c>
      <c r="G300" t="inlineStr">
        <is>
          <t>not matched</t>
        </is>
      </c>
      <c r="H300" t="inlineStr">
        <is>
          <t>N</t>
        </is>
      </c>
      <c r="I300" t="inlineStr"/>
      <c r="J300" t="inlineStr">
        <is>
          <t>Other</t>
        </is>
      </c>
      <c r="K300" t="inlineStr">
        <is>
          <t>UFC 331</t>
        </is>
      </c>
      <c r="L300" t="inlineStr">
        <is>
          <t>parlay</t>
        </is>
      </c>
      <c r="M300" t="inlineStr">
        <is>
          <t>Arman Tsarukyan ML vs Mauricio Ruffy; Robelis Despaigne ML vs Tai Tuivasa; Ryan Gandra ML vs Osman Diaz</t>
        </is>
      </c>
      <c r="N300" t="n">
        <v>3</v>
      </c>
      <c r="O300" t="inlineStr">
        <is>
          <t>-123</t>
        </is>
      </c>
      <c r="P300" s="4" t="n">
        <v>1.813</v>
      </c>
      <c r="Q300" s="5" t="n">
        <v>249643</v>
      </c>
      <c r="R300" t="inlineStr"/>
      <c r="S300" s="5" t="n">
        <v>451853.83</v>
      </c>
      <c r="T300" t="inlineStr">
        <is>
          <t>Gamdom</t>
        </is>
      </c>
      <c r="U300" t="inlineStr">
        <is>
          <t>W</t>
        </is>
      </c>
      <c r="V300" s="5">
        <f>IF(NOT(ISNUMBER(Q300)),"",IF(U300="W",IF(ISNUMBER(S300),S300-Q300,IF(ISNUMBER(P300),Q300*(P300-1),"")),IF(U300="L",-Q300,IF(U300="Push",0,""))))</f>
        <v/>
      </c>
      <c r="W300">
        <f>IF(NOT(ISNUMBER(R300)),"",IF(U300="W",IF(ISNUMBER(P300),R300*(P300-1),""),IF(U300="L",-R300,IF(U300="Push",0,""))))</f>
        <v/>
      </c>
      <c r="X300" t="inlineStr">
        <is>
          <t>graded from final</t>
        </is>
      </c>
      <c r="Y300" t="inlineStr">
        <is>
          <t>Y - tags Gamdom</t>
        </is>
      </c>
      <c r="Z300" t="inlineStr">
        <is>
          <t>https://x.com/stevewilldoit/status/2101144953309007921</t>
        </is>
      </c>
      <c r="AA300" t="inlineStr">
        <is>
          <t>Full ticket in 978494; Final: Tsarukyan, Despaigne, Gandra all won</t>
        </is>
      </c>
      <c r="AB300" t="inlineStr">
        <is>
          <t>Parlay/multi-leg</t>
        </is>
      </c>
      <c r="AC300" s="5">
        <f>IF(ISNUMBER(V300),Q300,"")</f>
        <v/>
      </c>
      <c r="AD300">
        <f>IF(ISNUMBER(W300),R300,"")</f>
        <v/>
      </c>
    </row>
    <row r="301">
      <c r="A301" t="inlineStr">
        <is>
          <t>S-964491</t>
        </is>
      </c>
      <c r="B301" t="inlineStr">
        <is>
          <t>Steve</t>
        </is>
      </c>
      <c r="C301" s="2" t="n">
        <v>46284.25928240741</v>
      </c>
      <c r="D301">
        <f>IF(C301="","",TEXT(C301,"dddd"))</f>
        <v/>
      </c>
      <c r="E301" s="3" t="n">
        <v>46284</v>
      </c>
      <c r="F301">
        <f>IF(E301="","",TEXT(E301,"dddd"))</f>
        <v/>
      </c>
      <c r="G301" t="inlineStr">
        <is>
          <t>not matched</t>
        </is>
      </c>
      <c r="H301" t="inlineStr">
        <is>
          <t>N</t>
        </is>
      </c>
      <c r="I301" t="inlineStr"/>
      <c r="J301" t="inlineStr">
        <is>
          <t>Other</t>
        </is>
      </c>
      <c r="K301" t="inlineStr">
        <is>
          <t>Soccer - Ligue 1</t>
        </is>
      </c>
      <c r="L301" t="inlineStr">
        <is>
          <t>ML</t>
        </is>
      </c>
      <c r="M301" t="inlineStr">
        <is>
          <t>Paris FC to win (1x2) vs Strasbourg</t>
        </is>
      </c>
      <c r="N301" t="n">
        <v>1</v>
      </c>
      <c r="O301" t="inlineStr">
        <is>
          <t>-122</t>
        </is>
      </c>
      <c r="P301" s="4" t="n">
        <v>1.8197</v>
      </c>
      <c r="Q301" s="5" t="n">
        <v>75000</v>
      </c>
      <c r="R301" t="inlineStr"/>
      <c r="S301" s="5" t="n">
        <v>136500</v>
      </c>
      <c r="T301" t="inlineStr">
        <is>
          <t>Gamdom</t>
        </is>
      </c>
      <c r="U301" t="inlineStr">
        <is>
          <t>W</t>
        </is>
      </c>
      <c r="V301" s="5">
        <f>IF(NOT(ISNUMBER(Q301)),"",IF(U301="W",IF(ISNUMBER(S301),S301-Q301,IF(ISNUMBER(P301),Q301*(P301-1),"")),IF(U301="L",-Q301,IF(U301="Push",0,""))))</f>
        <v/>
      </c>
      <c r="W301">
        <f>IF(NOT(ISNUMBER(R301)),"",IF(U301="W",IF(ISNUMBER(P301),R301*(P301-1),""),IF(U301="L",-R301,IF(U301="Push",0,""))))</f>
        <v/>
      </c>
      <c r="X301" t="inlineStr">
        <is>
          <t>graded from final</t>
        </is>
      </c>
      <c r="Y301" t="inlineStr">
        <is>
          <t>N</t>
        </is>
      </c>
      <c r="Z301" t="inlineStr">
        <is>
          <t>https://x.com/stevewilldoit/status/2101268406141964491</t>
        </is>
      </c>
      <c r="AA301" t="inlineStr">
        <is>
          <t>Final: Paris FC 2-1 Strasbourg</t>
        </is>
      </c>
      <c r="AB301" t="inlineStr">
        <is>
          <t>Single</t>
        </is>
      </c>
      <c r="AC301" s="5">
        <f>IF(ISNUMBER(V301),Q301,"")</f>
        <v/>
      </c>
      <c r="AD301">
        <f>IF(ISNUMBER(W301),R301,"")</f>
        <v/>
      </c>
    </row>
    <row r="302">
      <c r="A302" t="inlineStr">
        <is>
          <t>S-989906</t>
        </is>
      </c>
      <c r="B302" t="inlineStr">
        <is>
          <t>Steve</t>
        </is>
      </c>
      <c r="C302" s="2" t="n">
        <v>46284.40092592593</v>
      </c>
      <c r="D302">
        <f>IF(C302="","",TEXT(C302,"dddd"))</f>
        <v/>
      </c>
      <c r="E302" s="3" t="n">
        <v>46284</v>
      </c>
      <c r="F302">
        <f>IF(E302="","",TEXT(E302,"dddd"))</f>
        <v/>
      </c>
      <c r="G302" t="inlineStr">
        <is>
          <t>not matched</t>
        </is>
      </c>
      <c r="H302" t="inlineStr">
        <is>
          <t>N</t>
        </is>
      </c>
      <c r="I302" t="inlineStr"/>
      <c r="J302" t="inlineStr">
        <is>
          <t>Other</t>
        </is>
      </c>
      <c r="K302" t="inlineStr">
        <is>
          <t>Soccer - LaLiga</t>
        </is>
      </c>
      <c r="L302" t="inlineStr">
        <is>
          <t>spread</t>
        </is>
      </c>
      <c r="M302" t="inlineStr">
        <is>
          <t>CD Alaves +0.5 Asian handicap vs Athletic Bilbao</t>
        </is>
      </c>
      <c r="N302" t="n">
        <v>1</v>
      </c>
      <c r="O302" t="inlineStr">
        <is>
          <t>+138</t>
        </is>
      </c>
      <c r="P302" s="4" t="n">
        <v>2.38</v>
      </c>
      <c r="Q302" s="5" t="n">
        <v>75000</v>
      </c>
      <c r="R302" t="inlineStr"/>
      <c r="S302" s="5" t="n">
        <v>178500</v>
      </c>
      <c r="T302" t="inlineStr">
        <is>
          <t>Gamdom</t>
        </is>
      </c>
      <c r="U302" t="inlineStr">
        <is>
          <t>W</t>
        </is>
      </c>
      <c r="V302" s="5">
        <f>IF(NOT(ISNUMBER(Q302)),"",IF(U302="W",IF(ISNUMBER(S302),S302-Q302,IF(ISNUMBER(P302),Q302*(P302-1),"")),IF(U302="L",-Q302,IF(U302="Push",0,""))))</f>
        <v/>
      </c>
      <c r="W302">
        <f>IF(NOT(ISNUMBER(R302)),"",IF(U302="W",IF(ISNUMBER(P302),R302*(P302-1),""),IF(U302="L",-R302,IF(U302="Push",0,""))))</f>
        <v/>
      </c>
      <c r="X302" t="inlineStr">
        <is>
          <t>graded from final</t>
        </is>
      </c>
      <c r="Y302" t="inlineStr">
        <is>
          <t>N</t>
        </is>
      </c>
      <c r="Z302" t="inlineStr">
        <is>
          <t>https://x.com/stevewilldoit/status/2101319735811989906</t>
        </is>
      </c>
      <c r="AA302" t="inlineStr">
        <is>
          <t>Final: Athletic 0-0 Alaves (+0.5 covers)</t>
        </is>
      </c>
      <c r="AB302" t="inlineStr">
        <is>
          <t>Single</t>
        </is>
      </c>
      <c r="AC302" s="5">
        <f>IF(ISNUMBER(V302),Q302,"")</f>
        <v/>
      </c>
      <c r="AD302">
        <f>IF(ISNUMBER(W302),R302,"")</f>
        <v/>
      </c>
    </row>
    <row r="303">
      <c r="A303" t="inlineStr">
        <is>
          <t>T-281915</t>
        </is>
      </c>
      <c r="B303" t="inlineStr">
        <is>
          <t>Trent</t>
        </is>
      </c>
      <c r="C303" s="2" t="n">
        <v>46284.46969907408</v>
      </c>
      <c r="D303">
        <f>IF(C303="","",TEXT(C303,"dddd"))</f>
        <v/>
      </c>
      <c r="E303" s="3" t="n">
        <v>46284</v>
      </c>
      <c r="F303">
        <f>IF(E303="","",TEXT(E303,"dddd"))</f>
        <v/>
      </c>
      <c r="G303" t="inlineStr">
        <is>
          <t>7:30 PM</t>
        </is>
      </c>
      <c r="H303" t="inlineStr">
        <is>
          <t>Y</t>
        </is>
      </c>
      <c r="I303" t="inlineStr">
        <is>
          <t>CFB Saturday night</t>
        </is>
      </c>
      <c r="J303" t="inlineStr">
        <is>
          <t>CFB</t>
        </is>
      </c>
      <c r="K303" t="inlineStr">
        <is>
          <t>NCAAF</t>
        </is>
      </c>
      <c r="L303" t="inlineStr">
        <is>
          <t>spread</t>
        </is>
      </c>
      <c r="M303" t="inlineStr">
        <is>
          <t>Ole Miss +2.5 vs LSU</t>
        </is>
      </c>
      <c r="N303" t="n">
        <v>1</v>
      </c>
      <c r="O303" t="inlineStr">
        <is>
          <t>not shown</t>
        </is>
      </c>
      <c r="P303" s="4" t="inlineStr"/>
      <c r="Q303" s="5" t="inlineStr"/>
      <c r="R303" t="n">
        <v>5</v>
      </c>
      <c r="S303" s="5" t="inlineStr"/>
      <c r="T303" t="inlineStr">
        <is>
          <t>not shown</t>
        </is>
      </c>
      <c r="U303" t="inlineStr">
        <is>
          <t>W</t>
        </is>
      </c>
      <c r="V303" s="5">
        <f>IF(NOT(ISNUMBER(Q303)),"",IF(U303="W",IF(ISNUMBER(S303),S303-Q303,IF(ISNUMBER(P303),Q303*(P303-1),"")),IF(U303="L",-Q303,IF(U303="Push",0,""))))</f>
        <v/>
      </c>
      <c r="W303">
        <f>IF(NOT(ISNUMBER(R303)),"",IF(U303="W",IF(ISNUMBER(P303),R303*(P303-1),""),IF(U303="L",-R303,IF(U303="Push",0,""))))</f>
        <v/>
      </c>
      <c r="X303" t="inlineStr">
        <is>
          <t>graded from final</t>
        </is>
      </c>
      <c r="Y303" t="inlineStr">
        <is>
          <t>N</t>
        </is>
      </c>
      <c r="Z303" t="inlineStr">
        <is>
          <t>https://x.com/BookitWithTrent/status/2101344660631281915</t>
        </is>
      </c>
      <c r="AA303" t="inlineStr">
        <is>
          <t>"OFFICIAL MORTAL MEGA MAX" 5U</t>
        </is>
      </c>
      <c r="AB303" t="inlineStr">
        <is>
          <t>Single</t>
        </is>
      </c>
      <c r="AC303" s="5">
        <f>IF(ISNUMBER(V303),Q303,"")</f>
        <v/>
      </c>
      <c r="AD303">
        <f>IF(ISNUMBER(W303),R303,"")</f>
        <v/>
      </c>
    </row>
    <row r="304">
      <c r="A304" t="inlineStr">
        <is>
          <t>S-714353</t>
        </is>
      </c>
      <c r="B304" t="inlineStr">
        <is>
          <t>Steve</t>
        </is>
      </c>
      <c r="C304" s="2" t="n">
        <v>46284.59885416667</v>
      </c>
      <c r="D304">
        <f>IF(C304="","",TEXT(C304,"dddd"))</f>
        <v/>
      </c>
      <c r="E304" s="3" t="n">
        <v>46284</v>
      </c>
      <c r="F304">
        <f>IF(E304="","",TEXT(E304,"dddd"))</f>
        <v/>
      </c>
      <c r="G304" t="inlineStr">
        <is>
          <t>not matched</t>
        </is>
      </c>
      <c r="H304" t="inlineStr">
        <is>
          <t>N</t>
        </is>
      </c>
      <c r="I304" t="inlineStr"/>
      <c r="J304" t="inlineStr">
        <is>
          <t>Other</t>
        </is>
      </c>
      <c r="K304" t="inlineStr">
        <is>
          <t>UFC 331</t>
        </is>
      </c>
      <c r="L304" t="inlineStr">
        <is>
          <t>ML</t>
        </is>
      </c>
      <c r="M304" t="inlineStr">
        <is>
          <t>Brunno Ferreira ML vs Edmen Shahbazyan</t>
        </is>
      </c>
      <c r="N304" t="n">
        <v>1</v>
      </c>
      <c r="O304" t="inlineStr">
        <is>
          <t>+143</t>
        </is>
      </c>
      <c r="P304" s="4" t="n">
        <v>2.43</v>
      </c>
      <c r="Q304" s="5" t="n">
        <v>169000</v>
      </c>
      <c r="R304" t="inlineStr"/>
      <c r="S304" s="5" t="n">
        <v>410670</v>
      </c>
      <c r="T304" t="inlineStr">
        <is>
          <t>Gamdom</t>
        </is>
      </c>
      <c r="U304" t="inlineStr">
        <is>
          <t>L</t>
        </is>
      </c>
      <c r="V304" s="5">
        <f>IF(NOT(ISNUMBER(Q304)),"",IF(U304="W",IF(ISNUMBER(S304),S304-Q304,IF(ISNUMBER(P304),Q304*(P304-1),"")),IF(U304="L",-Q304,IF(U304="Push",0,""))))</f>
        <v/>
      </c>
      <c r="W304">
        <f>IF(NOT(ISNUMBER(R304)),"",IF(U304="W",IF(ISNUMBER(P304),R304*(P304-1),""),IF(U304="L",-R304,IF(U304="Push",0,""))))</f>
        <v/>
      </c>
      <c r="X304" t="inlineStr">
        <is>
          <t>graded from final</t>
        </is>
      </c>
      <c r="Y304" t="inlineStr">
        <is>
          <t>Y - tags Gamdom</t>
        </is>
      </c>
      <c r="Z304" t="inlineStr">
        <is>
          <t>https://x.com/stevewilldoit/status/2101391461786714353</t>
        </is>
      </c>
      <c r="AA304" t="inlineStr">
        <is>
          <t>Final: Shahbazyan def. Ferreira</t>
        </is>
      </c>
      <c r="AB304" t="inlineStr">
        <is>
          <t>Single</t>
        </is>
      </c>
      <c r="AC304" s="5">
        <f>IF(ISNUMBER(V304),Q304,"")</f>
        <v/>
      </c>
      <c r="AD304">
        <f>IF(ISNUMBER(W304),R304,"")</f>
        <v/>
      </c>
    </row>
    <row r="305">
      <c r="A305" t="inlineStr">
        <is>
          <t>S-359271</t>
        </is>
      </c>
      <c r="B305" t="inlineStr">
        <is>
          <t>Steve</t>
        </is>
      </c>
      <c r="C305" s="2" t="n">
        <v>46284.6466087963</v>
      </c>
      <c r="D305">
        <f>IF(C305="","",TEXT(C305,"dddd"))</f>
        <v/>
      </c>
      <c r="E305" s="3" t="n">
        <v>46284</v>
      </c>
      <c r="F305">
        <f>IF(E305="","",TEXT(E305,"dddd"))</f>
        <v/>
      </c>
      <c r="G305" t="inlineStr">
        <is>
          <t>7:30 PM</t>
        </is>
      </c>
      <c r="H305" t="inlineStr">
        <is>
          <t>Y</t>
        </is>
      </c>
      <c r="I305" t="inlineStr">
        <is>
          <t>CFB Saturday night</t>
        </is>
      </c>
      <c r="J305" t="inlineStr">
        <is>
          <t>CFB</t>
        </is>
      </c>
      <c r="K305" t="inlineStr">
        <is>
          <t>NCAAF</t>
        </is>
      </c>
      <c r="L305" t="inlineStr">
        <is>
          <t>spread</t>
        </is>
      </c>
      <c r="M305" t="inlineStr">
        <is>
          <t>LSU Tigers +1.5 vs Ole Miss</t>
        </is>
      </c>
      <c r="N305" t="n">
        <v>1</v>
      </c>
      <c r="O305" t="inlineStr">
        <is>
          <t>-167</t>
        </is>
      </c>
      <c r="P305" s="4" t="n">
        <v>1.5988</v>
      </c>
      <c r="Q305" s="5" t="n">
        <v>86000</v>
      </c>
      <c r="R305" t="inlineStr"/>
      <c r="S305" s="5" t="n">
        <v>137600</v>
      </c>
      <c r="T305" t="inlineStr">
        <is>
          <t>Gamdom</t>
        </is>
      </c>
      <c r="U305" t="inlineStr">
        <is>
          <t>L</t>
        </is>
      </c>
      <c r="V305" s="5">
        <f>IF(NOT(ISNUMBER(Q305)),"",IF(U305="W",IF(ISNUMBER(S305),S305-Q305,IF(ISNUMBER(P305),Q305*(P305-1),"")),IF(U305="L",-Q305,IF(U305="Push",0,""))))</f>
        <v/>
      </c>
      <c r="W305">
        <f>IF(NOT(ISNUMBER(R305)),"",IF(U305="W",IF(ISNUMBER(P305),R305*(P305-1),""),IF(U305="L",-R305,IF(U305="Push",0,""))))</f>
        <v/>
      </c>
      <c r="X305" t="inlineStr">
        <is>
          <t>graded from final</t>
        </is>
      </c>
      <c r="Y305" t="inlineStr">
        <is>
          <t>Y - tags Gamdom</t>
        </is>
      </c>
      <c r="Z305" t="inlineStr">
        <is>
          <t>https://x.com/stevewilldoit/status/2101408769972359271</t>
        </is>
      </c>
      <c r="AA305" t="inlineStr"/>
      <c r="AB305" t="inlineStr">
        <is>
          <t>Single</t>
        </is>
      </c>
      <c r="AC305" s="5">
        <f>IF(ISNUMBER(V305),Q305,"")</f>
        <v/>
      </c>
      <c r="AD305">
        <f>IF(ISNUMBER(W305),R305,"")</f>
        <v/>
      </c>
    </row>
    <row r="306">
      <c r="A306" t="inlineStr">
        <is>
          <t>S-754686</t>
        </is>
      </c>
      <c r="B306" t="inlineStr">
        <is>
          <t>Steve</t>
        </is>
      </c>
      <c r="C306" s="2" t="n">
        <v>46284.67934027778</v>
      </c>
      <c r="D306">
        <f>IF(C306="","",TEXT(C306,"dddd"))</f>
        <v/>
      </c>
      <c r="E306" s="3" t="n">
        <v>46284</v>
      </c>
      <c r="F306">
        <f>IF(E306="","",TEXT(E306,"dddd"))</f>
        <v/>
      </c>
      <c r="G306" t="inlineStr">
        <is>
          <t>3:30 PM</t>
        </is>
      </c>
      <c r="H306" t="inlineStr">
        <is>
          <t>N</t>
        </is>
      </c>
      <c r="I306" t="inlineStr"/>
      <c r="J306" t="inlineStr">
        <is>
          <t>CFB</t>
        </is>
      </c>
      <c r="K306" t="inlineStr">
        <is>
          <t>NCAAF</t>
        </is>
      </c>
      <c r="L306" t="inlineStr">
        <is>
          <t>total</t>
        </is>
      </c>
      <c r="M306" t="inlineStr">
        <is>
          <t>Michigan vs UTEP Under 57.5</t>
        </is>
      </c>
      <c r="N306" t="n">
        <v>1</v>
      </c>
      <c r="O306" t="inlineStr">
        <is>
          <t>-189</t>
        </is>
      </c>
      <c r="P306" s="4" t="n">
        <v>1.5291</v>
      </c>
      <c r="Q306" s="5" t="n">
        <v>100000</v>
      </c>
      <c r="R306" t="inlineStr"/>
      <c r="S306" s="5" t="n">
        <v>153000</v>
      </c>
      <c r="T306" t="inlineStr">
        <is>
          <t>Gamdom</t>
        </is>
      </c>
      <c r="U306" t="inlineStr">
        <is>
          <t>L</t>
        </is>
      </c>
      <c r="V306" s="5">
        <f>IF(NOT(ISNUMBER(Q306)),"",IF(U306="W",IF(ISNUMBER(S306),S306-Q306,IF(ISNUMBER(P306),Q306*(P306-1),"")),IF(U306="L",-Q306,IF(U306="Push",0,""))))</f>
        <v/>
      </c>
      <c r="W306">
        <f>IF(NOT(ISNUMBER(R306)),"",IF(U306="W",IF(ISNUMBER(P306),R306*(P306-1),""),IF(U306="L",-R306,IF(U306="Push",0,""))))</f>
        <v/>
      </c>
      <c r="X306" t="inlineStr">
        <is>
          <t>graded from final</t>
        </is>
      </c>
      <c r="Y306" t="inlineStr">
        <is>
          <t>Y - tags Gamdom</t>
        </is>
      </c>
      <c r="Z306" t="inlineStr">
        <is>
          <t>https://x.com/stevewilldoit/status/2101420632063754686</t>
        </is>
      </c>
      <c r="AA306" t="inlineStr">
        <is>
          <t>AI guy pick</t>
        </is>
      </c>
      <c r="AB306" t="inlineStr">
        <is>
          <t>Single</t>
        </is>
      </c>
      <c r="AC306" s="5">
        <f>IF(ISNUMBER(V306),Q306,"")</f>
        <v/>
      </c>
      <c r="AD306">
        <f>IF(ISNUMBER(W306),R306,"")</f>
        <v/>
      </c>
    </row>
    <row r="307">
      <c r="A307" t="inlineStr">
        <is>
          <t>S-709896</t>
        </is>
      </c>
      <c r="B307" t="inlineStr">
        <is>
          <t>Steve</t>
        </is>
      </c>
      <c r="C307" s="2" t="n">
        <v>46284.84857638889</v>
      </c>
      <c r="D307">
        <f>IF(C307="","",TEXT(C307,"dddd"))</f>
        <v/>
      </c>
      <c r="E307" s="3" t="n">
        <v>46284</v>
      </c>
      <c r="F307">
        <f>IF(E307="","",TEXT(E307,"dddd"))</f>
        <v/>
      </c>
      <c r="G307" t="inlineStr">
        <is>
          <t>not matched</t>
        </is>
      </c>
      <c r="H307" t="inlineStr">
        <is>
          <t>N</t>
        </is>
      </c>
      <c r="I307" t="inlineStr"/>
      <c r="J307" t="inlineStr">
        <is>
          <t>Other</t>
        </is>
      </c>
      <c r="K307" t="inlineStr">
        <is>
          <t>UFC 331</t>
        </is>
      </c>
      <c r="L307" t="inlineStr">
        <is>
          <t>parlay</t>
        </is>
      </c>
      <c r="M307" t="inlineStr">
        <is>
          <t>Joshua Van ML vs Pantoja; Arman Tsarukyan ML vs Ruffy</t>
        </is>
      </c>
      <c r="N307" t="n">
        <v>2</v>
      </c>
      <c r="O307" t="inlineStr">
        <is>
          <t>+100</t>
        </is>
      </c>
      <c r="P307" s="4" t="n">
        <v>2</v>
      </c>
      <c r="Q307" s="5" t="n">
        <v>125000</v>
      </c>
      <c r="R307" t="inlineStr"/>
      <c r="S307" s="5" t="n">
        <v>250000</v>
      </c>
      <c r="T307" t="inlineStr">
        <is>
          <t>Gamdom</t>
        </is>
      </c>
      <c r="U307" t="inlineStr">
        <is>
          <t>W</t>
        </is>
      </c>
      <c r="V307" s="5">
        <f>IF(NOT(ISNUMBER(Q307)),"",IF(U307="W",IF(ISNUMBER(S307),S307-Q307,IF(ISNUMBER(P307),Q307*(P307-1),"")),IF(U307="L",-Q307,IF(U307="Push",0,""))))</f>
        <v/>
      </c>
      <c r="W307">
        <f>IF(NOT(ISNUMBER(R307)),"",IF(U307="W",IF(ISNUMBER(P307),R307*(P307-1),""),IF(U307="L",-R307,IF(U307="Push",0,""))))</f>
        <v/>
      </c>
      <c r="X307" t="inlineStr">
        <is>
          <t>graded from final</t>
        </is>
      </c>
      <c r="Y307" t="inlineStr">
        <is>
          <t>N</t>
        </is>
      </c>
      <c r="Z307" t="inlineStr">
        <is>
          <t>https://x.com/stevewilldoit/status/2101481959230709896</t>
        </is>
      </c>
      <c r="AA307" t="inlineStr">
        <is>
          <t>Final: Van and Tsarukyan won</t>
        </is>
      </c>
      <c r="AB307" t="inlineStr">
        <is>
          <t>Parlay/multi-leg</t>
        </is>
      </c>
      <c r="AC307" s="5">
        <f>IF(ISNUMBER(V307),Q307,"")</f>
        <v/>
      </c>
      <c r="AD307">
        <f>IF(ISNUMBER(W307),R307,"")</f>
        <v/>
      </c>
    </row>
    <row r="308">
      <c r="A308" t="inlineStr">
        <is>
          <t>S-464844</t>
        </is>
      </c>
      <c r="B308" t="inlineStr">
        <is>
          <t>Steve</t>
        </is>
      </c>
      <c r="C308" s="2" t="n">
        <v>46284.87456018518</v>
      </c>
      <c r="D308">
        <f>IF(C308="","",TEXT(C308,"dddd"))</f>
        <v/>
      </c>
      <c r="E308" s="3" t="n">
        <v>46284</v>
      </c>
      <c r="F308">
        <f>IF(E308="","",TEXT(E308,"dddd"))</f>
        <v/>
      </c>
      <c r="G308" t="inlineStr">
        <is>
          <t>not matched</t>
        </is>
      </c>
      <c r="H308" t="inlineStr">
        <is>
          <t>N</t>
        </is>
      </c>
      <c r="I308" t="inlineStr"/>
      <c r="J308" t="inlineStr">
        <is>
          <t>Other</t>
        </is>
      </c>
      <c r="K308" t="inlineStr">
        <is>
          <t>UFC 331</t>
        </is>
      </c>
      <c r="L308" t="inlineStr">
        <is>
          <t>ML</t>
        </is>
      </c>
      <c r="M308" t="inlineStr">
        <is>
          <t>Arman Tsarukyan to win (1x2) vs Mauricio Ruffy</t>
        </is>
      </c>
      <c r="N308" t="n">
        <v>1</v>
      </c>
      <c r="O308" t="inlineStr">
        <is>
          <t>-313</t>
        </is>
      </c>
      <c r="P308" s="4" t="n">
        <v>1.3195</v>
      </c>
      <c r="Q308" s="5" t="n">
        <v>150000</v>
      </c>
      <c r="R308" t="inlineStr"/>
      <c r="S308" s="5" t="n">
        <v>198000</v>
      </c>
      <c r="T308" t="inlineStr">
        <is>
          <t>Gamdom</t>
        </is>
      </c>
      <c r="U308" t="inlineStr">
        <is>
          <t>W</t>
        </is>
      </c>
      <c r="V308" s="5">
        <f>IF(NOT(ISNUMBER(Q308)),"",IF(U308="W",IF(ISNUMBER(S308),S308-Q308,IF(ISNUMBER(P308),Q308*(P308-1),"")),IF(U308="L",-Q308,IF(U308="Push",0,""))))</f>
        <v/>
      </c>
      <c r="W308">
        <f>IF(NOT(ISNUMBER(R308)),"",IF(U308="W",IF(ISNUMBER(P308),R308*(P308-1),""),IF(U308="L",-R308,IF(U308="Push",0,""))))</f>
        <v/>
      </c>
      <c r="X308" t="inlineStr">
        <is>
          <t>graded from final</t>
        </is>
      </c>
      <c r="Y308" t="inlineStr">
        <is>
          <t>N</t>
        </is>
      </c>
      <c r="Z308" t="inlineStr">
        <is>
          <t>https://x.com/stevewilldoit/status/2101491374973464844</t>
        </is>
      </c>
      <c r="AA308" t="inlineStr">
        <is>
          <t>Placed for @yungreal69 ("here's ur $150,000"); same slip reposted 577380; Final: Tsarukyan def. Ruffy</t>
        </is>
      </c>
      <c r="AB308" t="inlineStr">
        <is>
          <t>Single</t>
        </is>
      </c>
      <c r="AC308" s="5">
        <f>IF(ISNUMBER(V308),Q308,"")</f>
        <v/>
      </c>
      <c r="AD308">
        <f>IF(ISNUMBER(W308),R308,"")</f>
        <v/>
      </c>
    </row>
    <row r="309">
      <c r="A309" t="inlineStr">
        <is>
          <t>S-103375</t>
        </is>
      </c>
      <c r="B309" t="inlineStr">
        <is>
          <t>Steve</t>
        </is>
      </c>
      <c r="C309" s="2" t="n">
        <v>46284.88403935185</v>
      </c>
      <c r="D309">
        <f>IF(C309="","",TEXT(C309,"dddd"))</f>
        <v/>
      </c>
      <c r="E309" s="3" t="n">
        <v>46284</v>
      </c>
      <c r="F309">
        <f>IF(E309="","",TEXT(E309,"dddd"))</f>
        <v/>
      </c>
      <c r="G309" t="inlineStr">
        <is>
          <t>not matched</t>
        </is>
      </c>
      <c r="H309" t="inlineStr">
        <is>
          <t>N</t>
        </is>
      </c>
      <c r="I309" t="inlineStr"/>
      <c r="J309" t="inlineStr">
        <is>
          <t>Other</t>
        </is>
      </c>
      <c r="K309" t="inlineStr">
        <is>
          <t>UFC 331</t>
        </is>
      </c>
      <c r="L309" t="inlineStr">
        <is>
          <t>prop</t>
        </is>
      </c>
      <c r="M309" t="inlineStr">
        <is>
          <t>Arman Tsarukyan by submission vs Mauricio Ruffy</t>
        </is>
      </c>
      <c r="N309" t="n">
        <v>1</v>
      </c>
      <c r="O309" t="inlineStr">
        <is>
          <t>+182</t>
        </is>
      </c>
      <c r="P309" s="4" t="n">
        <v>2.82</v>
      </c>
      <c r="Q309" s="5" t="n">
        <v>50000</v>
      </c>
      <c r="R309" t="inlineStr"/>
      <c r="S309" s="5" t="n">
        <v>141000</v>
      </c>
      <c r="T309" t="inlineStr">
        <is>
          <t>Gamdom</t>
        </is>
      </c>
      <c r="U309" t="inlineStr">
        <is>
          <t>L</t>
        </is>
      </c>
      <c r="V309" s="5">
        <f>IF(NOT(ISNUMBER(Q309)),"",IF(U309="W",IF(ISNUMBER(S309),S309-Q309,IF(ISNUMBER(P309),Q309*(P309-1),"")),IF(U309="L",-Q309,IF(U309="Push",0,""))))</f>
        <v/>
      </c>
      <c r="W309">
        <f>IF(NOT(ISNUMBER(R309)),"",IF(U309="W",IF(ISNUMBER(P309),R309*(P309-1),""),IF(U309="L",-R309,IF(U309="Push",0,""))))</f>
        <v/>
      </c>
      <c r="X309" t="inlineStr">
        <is>
          <t>posted</t>
        </is>
      </c>
      <c r="Y309" t="inlineStr">
        <is>
          <t>N</t>
        </is>
      </c>
      <c r="Z309" t="inlineStr">
        <is>
          <t>https://x.com/stevewilldoit/status/2101494812692103375</t>
        </is>
      </c>
      <c r="AA309" t="inlineStr">
        <is>
          <t>"I lost arman submission"</t>
        </is>
      </c>
      <c r="AB309" t="inlineStr">
        <is>
          <t>Single</t>
        </is>
      </c>
      <c r="AC309" s="5">
        <f>IF(ISNUMBER(V309),Q309,"")</f>
        <v/>
      </c>
      <c r="AD309">
        <f>IF(ISNUMBER(W309),R309,"")</f>
        <v/>
      </c>
    </row>
    <row r="310">
      <c r="A310" t="inlineStr">
        <is>
          <t>S-055125</t>
        </is>
      </c>
      <c r="B310" t="inlineStr">
        <is>
          <t>Steve</t>
        </is>
      </c>
      <c r="C310" s="2" t="n">
        <v>46284.92292824074</v>
      </c>
      <c r="D310">
        <f>IF(C310="","",TEXT(C310,"dddd"))</f>
        <v/>
      </c>
      <c r="E310" s="3" t="n">
        <v>46284</v>
      </c>
      <c r="F310">
        <f>IF(E310="","",TEXT(E310,"dddd"))</f>
        <v/>
      </c>
      <c r="G310" t="inlineStr">
        <is>
          <t>not matched</t>
        </is>
      </c>
      <c r="H310" t="inlineStr">
        <is>
          <t>N</t>
        </is>
      </c>
      <c r="I310" t="inlineStr"/>
      <c r="J310" t="inlineStr">
        <is>
          <t>Other</t>
        </is>
      </c>
      <c r="K310" t="inlineStr">
        <is>
          <t>UFC 331</t>
        </is>
      </c>
      <c r="L310" t="inlineStr">
        <is>
          <t>ML</t>
        </is>
      </c>
      <c r="M310" t="inlineStr">
        <is>
          <t>Joshua Van ML vs Alexandre Pantoja</t>
        </is>
      </c>
      <c r="N310" t="n">
        <v>1</v>
      </c>
      <c r="O310" t="inlineStr">
        <is>
          <t>-167</t>
        </is>
      </c>
      <c r="P310" s="4" t="n">
        <v>1.5988</v>
      </c>
      <c r="Q310" s="5" t="n">
        <v>200000</v>
      </c>
      <c r="R310" t="inlineStr"/>
      <c r="S310" s="5" t="n">
        <v>320000</v>
      </c>
      <c r="T310" t="inlineStr">
        <is>
          <t>Gamdom</t>
        </is>
      </c>
      <c r="U310" t="inlineStr">
        <is>
          <t>W</t>
        </is>
      </c>
      <c r="V310" s="5">
        <f>IF(NOT(ISNUMBER(Q310)),"",IF(U310="W",IF(ISNUMBER(S310),S310-Q310,IF(ISNUMBER(P310),Q310*(P310-1),"")),IF(U310="L",-Q310,IF(U310="Push",0,""))))</f>
        <v/>
      </c>
      <c r="W310">
        <f>IF(NOT(ISNUMBER(R310)),"",IF(U310="W",IF(ISNUMBER(P310),R310*(P310-1),""),IF(U310="L",-R310,IF(U310="Push",0,""))))</f>
        <v/>
      </c>
      <c r="X310" t="inlineStr">
        <is>
          <t>graded from final</t>
        </is>
      </c>
      <c r="Y310" t="inlineStr">
        <is>
          <t>N</t>
        </is>
      </c>
      <c r="Z310" t="inlineStr">
        <is>
          <t>https://x.com/stevewilldoit/status/2101508904161055125</t>
        </is>
      </c>
      <c r="AA310" t="inlineStr">
        <is>
          <t>For @yungreal69 ("You turned 50k into 320k"); Final: Van def. Pantoja</t>
        </is>
      </c>
      <c r="AB310" t="inlineStr">
        <is>
          <t>Single</t>
        </is>
      </c>
      <c r="AC310" s="5">
        <f>IF(ISNUMBER(V310),Q310,"")</f>
        <v/>
      </c>
      <c r="AD310">
        <f>IF(ISNUMBER(W310),R310,"")</f>
        <v/>
      </c>
    </row>
    <row r="311">
      <c r="A311" t="inlineStr">
        <is>
          <t>T-237352</t>
        </is>
      </c>
      <c r="B311" t="inlineStr">
        <is>
          <t>Trent</t>
        </is>
      </c>
      <c r="C311" s="2" t="n">
        <v>46284.94170138889</v>
      </c>
      <c r="D311">
        <f>IF(C311="","",TEXT(C311,"dddd"))</f>
        <v/>
      </c>
      <c r="E311" s="3" t="n">
        <v>46285</v>
      </c>
      <c r="F311">
        <f>IF(E311="","",TEXT(E311,"dddd"))</f>
        <v/>
      </c>
      <c r="G311" t="inlineStr">
        <is>
          <t>8:20 PM</t>
        </is>
      </c>
      <c r="H311" t="inlineStr">
        <is>
          <t>N</t>
        </is>
      </c>
      <c r="I311" t="inlineStr"/>
      <c r="J311" t="inlineStr">
        <is>
          <t>NFL</t>
        </is>
      </c>
      <c r="K311" t="inlineStr">
        <is>
          <t>NFL</t>
        </is>
      </c>
      <c r="L311" t="inlineStr">
        <is>
          <t>PrizePicks/DFS</t>
        </is>
      </c>
      <c r="M311" t="inlineStr">
        <is>
          <t>HOU Texans win vs CIN; TB Bucs win vs CLE; NE Patriots win vs PIT; DEN Broncos win vs JAC; DAL Cowboys win vs WAS; KC Chiefs win vs IND</t>
        </is>
      </c>
      <c r="N311" t="n">
        <v>6</v>
      </c>
      <c r="O311" t="inlineStr">
        <is>
          <t>+755</t>
        </is>
      </c>
      <c r="P311" s="4" t="n">
        <v>8.550000000000001</v>
      </c>
      <c r="Q311" s="5" t="n">
        <v>1170</v>
      </c>
      <c r="R311" t="inlineStr"/>
      <c r="S311" s="5" t="n">
        <v>10000</v>
      </c>
      <c r="T311" t="inlineStr">
        <is>
          <t>PrizePicks</t>
        </is>
      </c>
      <c r="U311" t="inlineStr">
        <is>
          <t>L</t>
        </is>
      </c>
      <c r="V311" s="5">
        <f>IF(NOT(ISNUMBER(Q311)),"",IF(U311="W",IF(ISNUMBER(S311),S311-Q311,IF(ISNUMBER(P311),Q311*(P311-1),"")),IF(U311="L",-Q311,IF(U311="Push",0,""))))</f>
        <v/>
      </c>
      <c r="W311">
        <f>IF(NOT(ISNUMBER(R311)),"",IF(U311="W",IF(ISNUMBER(P311),R311*(P311-1),""),IF(U311="L",-R311,IF(U311="Push",0,""))))</f>
        <v/>
      </c>
      <c r="X311" t="inlineStr">
        <is>
          <t>graded from final</t>
        </is>
      </c>
      <c r="Y311" t="inlineStr">
        <is>
          <t>N</t>
        </is>
      </c>
      <c r="Z311" t="inlineStr">
        <is>
          <t>https://x.com/BookitWithTrent/status/2101515706525237352</t>
        </is>
      </c>
      <c r="AA311" t="inlineStr">
        <is>
          <t>Matches Week 2 "Surgical Six" graphic (119162)</t>
        </is>
      </c>
      <c r="AB311" t="inlineStr">
        <is>
          <t>Parlay/multi-leg</t>
        </is>
      </c>
      <c r="AC311" s="5">
        <f>IF(ISNUMBER(V311),Q311,"")</f>
        <v/>
      </c>
      <c r="AD311">
        <f>IF(ISNUMBER(W311),R311,"")</f>
        <v/>
      </c>
    </row>
    <row r="312">
      <c r="A312" t="inlineStr">
        <is>
          <t>S-353728</t>
        </is>
      </c>
      <c r="B312" t="inlineStr">
        <is>
          <t>Steve</t>
        </is>
      </c>
      <c r="C312" s="2" t="n">
        <v>46284.97761574074</v>
      </c>
      <c r="D312">
        <f>IF(C312="","",TEXT(C312,"dddd"))</f>
        <v/>
      </c>
      <c r="E312" s="3" t="n">
        <v>46285</v>
      </c>
      <c r="F312">
        <f>IF(E312="","",TEXT(E312,"dddd"))</f>
        <v/>
      </c>
      <c r="G312" t="inlineStr">
        <is>
          <t>8:20 PM</t>
        </is>
      </c>
      <c r="H312" t="inlineStr">
        <is>
          <t>N</t>
        </is>
      </c>
      <c r="I312" t="inlineStr"/>
      <c r="J312" t="inlineStr">
        <is>
          <t>NFL</t>
        </is>
      </c>
      <c r="K312" t="inlineStr">
        <is>
          <t>NFL</t>
        </is>
      </c>
      <c r="L312" t="inlineStr">
        <is>
          <t>parlay</t>
        </is>
      </c>
      <c r="M312" t="inlineStr">
        <is>
          <t>Chicago Bears ML vs Vikings; Kansas City Chiefs ML vs Colts</t>
        </is>
      </c>
      <c r="N312" t="n">
        <v>2</v>
      </c>
      <c r="O312" t="inlineStr">
        <is>
          <t>+102</t>
        </is>
      </c>
      <c r="P312" s="4" t="n">
        <v>2.02</v>
      </c>
      <c r="Q312" s="5" t="n">
        <v>50000</v>
      </c>
      <c r="R312" t="inlineStr"/>
      <c r="S312" s="5" t="n">
        <v>101000</v>
      </c>
      <c r="T312" t="inlineStr">
        <is>
          <t>Gamdom</t>
        </is>
      </c>
      <c r="U312" t="inlineStr">
        <is>
          <t>L</t>
        </is>
      </c>
      <c r="V312" s="5">
        <f>IF(NOT(ISNUMBER(Q312)),"",IF(U312="W",IF(ISNUMBER(S312),S312-Q312,IF(ISNUMBER(P312),Q312*(P312-1),"")),IF(U312="L",-Q312,IF(U312="Push",0,""))))</f>
        <v/>
      </c>
      <c r="W312">
        <f>IF(NOT(ISNUMBER(R312)),"",IF(U312="W",IF(ISNUMBER(P312),R312*(P312-1),""),IF(U312="L",-R312,IF(U312="Push",0,""))))</f>
        <v/>
      </c>
      <c r="X312" t="inlineStr">
        <is>
          <t>graded from final</t>
        </is>
      </c>
      <c r="Y312" t="inlineStr">
        <is>
          <t>Y - tags Gamdom</t>
        </is>
      </c>
      <c r="Z312" t="inlineStr">
        <is>
          <t>https://x.com/stevewilldoit/status/2101528724080353728</t>
        </is>
      </c>
      <c r="AA312" t="inlineStr"/>
      <c r="AB312" t="inlineStr">
        <is>
          <t>Parlay/multi-leg</t>
        </is>
      </c>
      <c r="AC312" s="5">
        <f>IF(ISNUMBER(V312),Q312,"")</f>
        <v/>
      </c>
      <c r="AD312">
        <f>IF(ISNUMBER(W312),R312,"")</f>
        <v/>
      </c>
    </row>
    <row r="313">
      <c r="A313" t="inlineStr">
        <is>
          <t>S-319956</t>
        </is>
      </c>
      <c r="B313" t="inlineStr">
        <is>
          <t>Steve</t>
        </is>
      </c>
      <c r="C313" s="2" t="n">
        <v>46284.97935185185</v>
      </c>
      <c r="D313">
        <f>IF(C313="","",TEXT(C313,"dddd"))</f>
        <v/>
      </c>
      <c r="E313" s="3" t="n">
        <v>46285</v>
      </c>
      <c r="F313">
        <f>IF(E313="","",TEXT(E313,"dddd"))</f>
        <v/>
      </c>
      <c r="G313" t="inlineStr">
        <is>
          <t>8:20 PM</t>
        </is>
      </c>
      <c r="H313" t="inlineStr">
        <is>
          <t>Y</t>
        </is>
      </c>
      <c r="I313" t="inlineStr">
        <is>
          <t>SNF</t>
        </is>
      </c>
      <c r="J313" t="inlineStr">
        <is>
          <t>NFL</t>
        </is>
      </c>
      <c r="K313" t="inlineStr">
        <is>
          <t>NFL</t>
        </is>
      </c>
      <c r="L313" t="inlineStr">
        <is>
          <t>spread</t>
        </is>
      </c>
      <c r="M313" t="inlineStr">
        <is>
          <t>Kansas City Chiefs -3 vs Indianapolis Colts (SNF)</t>
        </is>
      </c>
      <c r="N313" t="n">
        <v>1</v>
      </c>
      <c r="O313" t="inlineStr">
        <is>
          <t>-179</t>
        </is>
      </c>
      <c r="P313" s="4" t="n">
        <v>1.5587</v>
      </c>
      <c r="Q313" s="5" t="n">
        <v>500000</v>
      </c>
      <c r="R313" t="inlineStr"/>
      <c r="S313" s="5" t="n">
        <v>780000</v>
      </c>
      <c r="T313" t="inlineStr">
        <is>
          <t>Gamdom</t>
        </is>
      </c>
      <c r="U313" t="inlineStr">
        <is>
          <t>Push</t>
        </is>
      </c>
      <c r="V313" s="5">
        <f>IF(NOT(ISNUMBER(Q313)),"",IF(U313="W",IF(ISNUMBER(S313),S313-Q313,IF(ISNUMBER(P313),Q313*(P313-1),"")),IF(U313="L",-Q313,IF(U313="Push",0,""))))</f>
        <v/>
      </c>
      <c r="W313">
        <f>IF(NOT(ISNUMBER(R313)),"",IF(U313="W",IF(ISNUMBER(P313),R313*(P313-1),""),IF(U313="L",-R313,IF(U313="Push",0,""))))</f>
        <v/>
      </c>
      <c r="X313" t="inlineStr">
        <is>
          <t>graded from final</t>
        </is>
      </c>
      <c r="Y313" t="inlineStr">
        <is>
          <t>Y - tags Gamdom</t>
        </is>
      </c>
      <c r="Z313" t="inlineStr">
        <is>
          <t>https://x.com/stevewilldoit/status/2101529352995319956</t>
        </is>
      </c>
      <c r="AA313" t="inlineStr">
        <is>
          <t>"biggest bet is 500k chiefs -3"; slip reposted in 113642</t>
        </is>
      </c>
      <c r="AB313" t="inlineStr">
        <is>
          <t>Single</t>
        </is>
      </c>
      <c r="AC313" s="5">
        <f>IF(ISNUMBER(V313),Q313,"")</f>
        <v/>
      </c>
      <c r="AD313">
        <f>IF(ISNUMBER(W313),R313,"")</f>
        <v/>
      </c>
    </row>
    <row r="314">
      <c r="A314" t="inlineStr">
        <is>
          <t>S-840808</t>
        </is>
      </c>
      <c r="B314" t="inlineStr">
        <is>
          <t>Steve</t>
        </is>
      </c>
      <c r="C314" s="2" t="n">
        <v>46284.98758101852</v>
      </c>
      <c r="D314">
        <f>IF(C314="","",TEXT(C314,"dddd"))</f>
        <v/>
      </c>
      <c r="E314" s="3" t="n">
        <v>46285</v>
      </c>
      <c r="F314">
        <f>IF(E314="","",TEXT(E314,"dddd"))</f>
        <v/>
      </c>
      <c r="G314" t="inlineStr">
        <is>
          <t>4:05 PM</t>
        </is>
      </c>
      <c r="H314" t="inlineStr">
        <is>
          <t>N</t>
        </is>
      </c>
      <c r="I314" t="inlineStr"/>
      <c r="J314" t="inlineStr">
        <is>
          <t>NFL</t>
        </is>
      </c>
      <c r="K314" t="inlineStr">
        <is>
          <t>NFL</t>
        </is>
      </c>
      <c r="L314" t="inlineStr">
        <is>
          <t>spread</t>
        </is>
      </c>
      <c r="M314" t="inlineStr">
        <is>
          <t>Jacksonville Jaguars +3.5 vs Denver Broncos</t>
        </is>
      </c>
      <c r="N314" t="n">
        <v>1</v>
      </c>
      <c r="O314" t="inlineStr">
        <is>
          <t>-133</t>
        </is>
      </c>
      <c r="P314" s="4" t="n">
        <v>1.7519</v>
      </c>
      <c r="Q314" s="5" t="n">
        <v>100000</v>
      </c>
      <c r="R314" t="inlineStr"/>
      <c r="S314" s="5" t="n">
        <v>175000</v>
      </c>
      <c r="T314" t="inlineStr">
        <is>
          <t>Gamdom</t>
        </is>
      </c>
      <c r="U314" t="inlineStr">
        <is>
          <t>L</t>
        </is>
      </c>
      <c r="V314" s="5">
        <f>IF(NOT(ISNUMBER(Q314)),"",IF(U314="W",IF(ISNUMBER(S314),S314-Q314,IF(ISNUMBER(P314),Q314*(P314-1),"")),IF(U314="L",-Q314,IF(U314="Push",0,""))))</f>
        <v/>
      </c>
      <c r="W314">
        <f>IF(NOT(ISNUMBER(R314)),"",IF(U314="W",IF(ISNUMBER(P314),R314*(P314-1),""),IF(U314="L",-R314,IF(U314="Push",0,""))))</f>
        <v/>
      </c>
      <c r="X314" t="inlineStr">
        <is>
          <t>graded from final</t>
        </is>
      </c>
      <c r="Y314" t="inlineStr">
        <is>
          <t>Y - tags Gamdom</t>
        </is>
      </c>
      <c r="Z314" t="inlineStr">
        <is>
          <t>https://x.com/stevewilldoit/status/2101532333211840808</t>
        </is>
      </c>
      <c r="AA314" t="inlineStr">
        <is>
          <t>AI guy pick</t>
        </is>
      </c>
      <c r="AB314" t="inlineStr">
        <is>
          <t>Single</t>
        </is>
      </c>
      <c r="AC314" s="5">
        <f>IF(ISNUMBER(V314),Q314,"")</f>
        <v/>
      </c>
      <c r="AD314">
        <f>IF(ISNUMBER(W314),R314,"")</f>
        <v/>
      </c>
    </row>
    <row r="315">
      <c r="A315" t="inlineStr">
        <is>
          <t>S-662253</t>
        </is>
      </c>
      <c r="B315" t="inlineStr">
        <is>
          <t>Steve</t>
        </is>
      </c>
      <c r="C315" s="2" t="n">
        <v>46284.98866898148</v>
      </c>
      <c r="D315">
        <f>IF(C315="","",TEXT(C315,"dddd"))</f>
        <v/>
      </c>
      <c r="E315" s="3" t="n">
        <v>46285</v>
      </c>
      <c r="F315">
        <f>IF(E315="","",TEXT(E315,"dddd"))</f>
        <v/>
      </c>
      <c r="G315" t="inlineStr">
        <is>
          <t>4:25 PM</t>
        </is>
      </c>
      <c r="H315" t="inlineStr">
        <is>
          <t>N</t>
        </is>
      </c>
      <c r="I315" t="inlineStr"/>
      <c r="J315" t="inlineStr">
        <is>
          <t>NFL</t>
        </is>
      </c>
      <c r="K315" t="inlineStr">
        <is>
          <t>NFL</t>
        </is>
      </c>
      <c r="L315" t="inlineStr">
        <is>
          <t>spread</t>
        </is>
      </c>
      <c r="M315" t="inlineStr">
        <is>
          <t>San Francisco 49ers -10 vs Miami Dolphins</t>
        </is>
      </c>
      <c r="N315" t="n">
        <v>1</v>
      </c>
      <c r="O315" t="inlineStr">
        <is>
          <t>-179</t>
        </is>
      </c>
      <c r="P315" s="4" t="n">
        <v>1.5587</v>
      </c>
      <c r="Q315" s="5" t="n">
        <v>50000</v>
      </c>
      <c r="R315" t="inlineStr"/>
      <c r="S315" s="5" t="n">
        <v>78000</v>
      </c>
      <c r="T315" t="inlineStr">
        <is>
          <t>Gamdom</t>
        </is>
      </c>
      <c r="U315" t="inlineStr">
        <is>
          <t>W</t>
        </is>
      </c>
      <c r="V315" s="5">
        <f>IF(NOT(ISNUMBER(Q315)),"",IF(U315="W",IF(ISNUMBER(S315),S315-Q315,IF(ISNUMBER(P315),Q315*(P315-1),"")),IF(U315="L",-Q315,IF(U315="Push",0,""))))</f>
        <v/>
      </c>
      <c r="W315">
        <f>IF(NOT(ISNUMBER(R315)),"",IF(U315="W",IF(ISNUMBER(P315),R315*(P315-1),""),IF(U315="L",-R315,IF(U315="Push",0,""))))</f>
        <v/>
      </c>
      <c r="X315" t="inlineStr">
        <is>
          <t>graded from final</t>
        </is>
      </c>
      <c r="Y315" t="inlineStr">
        <is>
          <t>Y - tags Gamdom</t>
        </is>
      </c>
      <c r="Z315" t="inlineStr">
        <is>
          <t>https://x.com/stevewilldoit/status/2101532726012662253</t>
        </is>
      </c>
      <c r="AA315" t="inlineStr">
        <is>
          <t>AI guy pick</t>
        </is>
      </c>
      <c r="AB315" t="inlineStr">
        <is>
          <t>Single</t>
        </is>
      </c>
      <c r="AC315" s="5">
        <f>IF(ISNUMBER(V315),Q315,"")</f>
        <v/>
      </c>
      <c r="AD315">
        <f>IF(ISNUMBER(W315),R315,"")</f>
        <v/>
      </c>
    </row>
    <row r="316">
      <c r="A316" t="inlineStr">
        <is>
          <t>S-938979</t>
        </is>
      </c>
      <c r="B316" t="inlineStr">
        <is>
          <t>Steve</t>
        </is>
      </c>
      <c r="C316" s="2" t="n">
        <v>46284.98891203704</v>
      </c>
      <c r="D316">
        <f>IF(C316="","",TEXT(C316,"dddd"))</f>
        <v/>
      </c>
      <c r="E316" s="3" t="n">
        <v>46285</v>
      </c>
      <c r="F316">
        <f>IF(E316="","",TEXT(E316,"dddd"))</f>
        <v/>
      </c>
      <c r="G316" t="inlineStr">
        <is>
          <t>1:00 PM</t>
        </is>
      </c>
      <c r="H316" t="inlineStr">
        <is>
          <t>N</t>
        </is>
      </c>
      <c r="I316" t="inlineStr"/>
      <c r="J316" t="inlineStr">
        <is>
          <t>NFL</t>
        </is>
      </c>
      <c r="K316" t="inlineStr">
        <is>
          <t>NFL</t>
        </is>
      </c>
      <c r="L316" t="inlineStr">
        <is>
          <t>ML</t>
        </is>
      </c>
      <c r="M316" t="inlineStr">
        <is>
          <t>Chicago Bears ML vs Minnesota Vikings</t>
        </is>
      </c>
      <c r="N316" t="n">
        <v>1</v>
      </c>
      <c r="O316" t="inlineStr">
        <is>
          <t>-222</t>
        </is>
      </c>
      <c r="P316" s="4" t="n">
        <v>1.4505</v>
      </c>
      <c r="Q316" s="5" t="n">
        <v>50990</v>
      </c>
      <c r="R316" t="inlineStr"/>
      <c r="S316" s="5" t="n">
        <v>73935.5</v>
      </c>
      <c r="T316" t="inlineStr">
        <is>
          <t>Gamdom</t>
        </is>
      </c>
      <c r="U316" t="inlineStr">
        <is>
          <t>L</t>
        </is>
      </c>
      <c r="V316" s="5">
        <f>IF(NOT(ISNUMBER(Q316)),"",IF(U316="W",IF(ISNUMBER(S316),S316-Q316,IF(ISNUMBER(P316),Q316*(P316-1),"")),IF(U316="L",-Q316,IF(U316="Push",0,""))))</f>
        <v/>
      </c>
      <c r="W316">
        <f>IF(NOT(ISNUMBER(R316)),"",IF(U316="W",IF(ISNUMBER(P316),R316*(P316-1),""),IF(U316="L",-R316,IF(U316="Push",0,""))))</f>
        <v/>
      </c>
      <c r="X316" t="inlineStr">
        <is>
          <t>graded from final</t>
        </is>
      </c>
      <c r="Y316" t="inlineStr">
        <is>
          <t>Y - tags Gamdom</t>
        </is>
      </c>
      <c r="Z316" t="inlineStr">
        <is>
          <t>https://x.com/stevewilldoit/status/2101532816617938979</t>
        </is>
      </c>
      <c r="AA316" t="inlineStr">
        <is>
          <t>AI guy pick</t>
        </is>
      </c>
      <c r="AB316" t="inlineStr">
        <is>
          <t>Single</t>
        </is>
      </c>
      <c r="AC316" s="5">
        <f>IF(ISNUMBER(V316),Q316,"")</f>
        <v/>
      </c>
      <c r="AD316">
        <f>IF(ISNUMBER(W316),R316,"")</f>
        <v/>
      </c>
    </row>
    <row r="317">
      <c r="A317" t="inlineStr">
        <is>
          <t>T-281256</t>
        </is>
      </c>
      <c r="B317" t="inlineStr">
        <is>
          <t>Trent</t>
        </is>
      </c>
      <c r="C317" s="2" t="n">
        <v>46285.41409722222</v>
      </c>
      <c r="D317">
        <f>IF(C317="","",TEXT(C317,"dddd"))</f>
        <v/>
      </c>
      <c r="E317" s="3" t="n">
        <v>46285</v>
      </c>
      <c r="F317">
        <f>IF(E317="","",TEXT(E317,"dddd"))</f>
        <v/>
      </c>
      <c r="G317" t="inlineStr">
        <is>
          <t>not matched</t>
        </is>
      </c>
      <c r="H317" t="inlineStr">
        <is>
          <t>Unknown</t>
        </is>
      </c>
      <c r="I317" t="inlineStr">
        <is>
          <t>kickoff not matched</t>
        </is>
      </c>
      <c r="J317" t="inlineStr">
        <is>
          <t>NFL</t>
        </is>
      </c>
      <c r="K317" t="inlineStr">
        <is>
          <t>NFL</t>
        </is>
      </c>
      <c r="L317" t="inlineStr">
        <is>
          <t>PrizePicks/DFS</t>
        </is>
      </c>
      <c r="M317" t="inlineStr">
        <is>
          <t>Colston Loveland o46.5 rec yds; Ja'Marr Chase o76.5 rec yds; Jaylen Waddle o52.5 rec yds; George Pickens o62.5 rec yds</t>
        </is>
      </c>
      <c r="N317" t="n">
        <v>4</v>
      </c>
      <c r="O317" t="inlineStr">
        <is>
          <t>+900</t>
        </is>
      </c>
      <c r="P317" s="4" t="n">
        <v>10</v>
      </c>
      <c r="Q317" s="5" t="n">
        <v>1000</v>
      </c>
      <c r="R317" t="inlineStr"/>
      <c r="S317" s="5" t="n">
        <v>10000</v>
      </c>
      <c r="T317" t="inlineStr">
        <is>
          <t>PrizePicks</t>
        </is>
      </c>
      <c r="U317" t="inlineStr">
        <is>
          <t>L</t>
        </is>
      </c>
      <c r="V317" s="5">
        <f>IF(NOT(ISNUMBER(Q317)),"",IF(U317="W",IF(ISNUMBER(S317),S317-Q317,IF(ISNUMBER(P317),Q317*(P317-1),"")),IF(U317="L",-Q317,IF(U317="Push",0,""))))</f>
        <v/>
      </c>
      <c r="W317">
        <f>IF(NOT(ISNUMBER(R317)),"",IF(U317="W",IF(ISNUMBER(P317),R317*(P317-1),""),IF(U317="L",-R317,IF(U317="Push",0,""))))</f>
        <v/>
      </c>
      <c r="X317" t="inlineStr">
        <is>
          <t>graded from final</t>
        </is>
      </c>
      <c r="Y317" t="inlineStr">
        <is>
          <t>N</t>
        </is>
      </c>
      <c r="Z317" t="inlineStr">
        <is>
          <t>https://x.com/BookitWithTrent/status/2101686898108281256</t>
        </is>
      </c>
      <c r="AA317" t="inlineStr">
        <is>
          <t>"THE 4 MAN NUKENHEIMER"; Final: Loveland 3 rec yds</t>
        </is>
      </c>
      <c r="AB317" t="inlineStr">
        <is>
          <t>Parlay/multi-leg</t>
        </is>
      </c>
      <c r="AC317" s="5">
        <f>IF(ISNUMBER(V317),Q317,"")</f>
        <v/>
      </c>
      <c r="AD317">
        <f>IF(ISNUMBER(W317),R317,"")</f>
        <v/>
      </c>
    </row>
    <row r="318">
      <c r="A318" t="inlineStr">
        <is>
          <t>T-828349</t>
        </is>
      </c>
      <c r="B318" t="inlineStr">
        <is>
          <t>Trent</t>
        </is>
      </c>
      <c r="C318" s="2" t="n">
        <v>46285.43854166667</v>
      </c>
      <c r="D318">
        <f>IF(C318="","",TEXT(C318,"dddd"))</f>
        <v/>
      </c>
      <c r="E318" s="3" t="n">
        <v>46285</v>
      </c>
      <c r="F318">
        <f>IF(E318="","",TEXT(E318,"dddd"))</f>
        <v/>
      </c>
      <c r="G318" t="inlineStr">
        <is>
          <t>not matched</t>
        </is>
      </c>
      <c r="H318" t="inlineStr">
        <is>
          <t>N</t>
        </is>
      </c>
      <c r="I318" t="inlineStr"/>
      <c r="J318" t="inlineStr">
        <is>
          <t>Other</t>
        </is>
      </c>
      <c r="K318" t="inlineStr">
        <is>
          <t>PLL Lacrosse</t>
        </is>
      </c>
      <c r="L318" t="inlineStr">
        <is>
          <t>ML</t>
        </is>
      </c>
      <c r="M318" t="inlineStr">
        <is>
          <t>Outlaws ML (PLL Championship)</t>
        </is>
      </c>
      <c r="N318" t="n">
        <v>1</v>
      </c>
      <c r="O318" t="inlineStr">
        <is>
          <t>not shown</t>
        </is>
      </c>
      <c r="P318" s="4" t="inlineStr"/>
      <c r="Q318" s="5" t="inlineStr"/>
      <c r="R318" t="inlineStr"/>
      <c r="S318" s="5" t="inlineStr"/>
      <c r="T318" t="inlineStr">
        <is>
          <t>not shown</t>
        </is>
      </c>
      <c r="U318" t="inlineStr">
        <is>
          <t>Unknown</t>
        </is>
      </c>
      <c r="V318" s="5">
        <f>IF(NOT(ISNUMBER(Q318)),"",IF(U318="W",IF(ISNUMBER(S318),S318-Q318,IF(ISNUMBER(P318),Q318*(P318-1),"")),IF(U318="L",-Q318,IF(U318="Push",0,""))))</f>
        <v/>
      </c>
      <c r="W318">
        <f>IF(NOT(ISNUMBER(R318)),"",IF(U318="W",IF(ISNUMBER(P318),R318*(P318-1),""),IF(U318="L",-R318,IF(U318="Push",0,""))))</f>
        <v/>
      </c>
      <c r="X318" t="inlineStr">
        <is>
          <t>unverified</t>
        </is>
      </c>
      <c r="Y318" t="inlineStr">
        <is>
          <t>N</t>
        </is>
      </c>
      <c r="Z318" t="inlineStr">
        <is>
          <t>https://x.com/BookitWithTrent/status/2101695754523828349</t>
        </is>
      </c>
      <c r="AA318" t="inlineStr">
        <is>
          <t>"It was always Outlaws ML in the PLL Championship. Mega." stake/units not stated</t>
        </is>
      </c>
      <c r="AB318" t="inlineStr">
        <is>
          <t>Single</t>
        </is>
      </c>
      <c r="AC318" s="5">
        <f>IF(ISNUMBER(V318),Q318,"")</f>
        <v/>
      </c>
      <c r="AD318">
        <f>IF(ISNUMBER(W318),R318,"")</f>
        <v/>
      </c>
    </row>
    <row r="319">
      <c r="A319" t="inlineStr">
        <is>
          <t>S-113642</t>
        </is>
      </c>
      <c r="B319" t="inlineStr">
        <is>
          <t>Steve</t>
        </is>
      </c>
      <c r="C319" s="2" t="n">
        <v>46285.6665625</v>
      </c>
      <c r="D319">
        <f>IF(C319="","",TEXT(C319,"dddd"))</f>
        <v/>
      </c>
      <c r="E319" s="3" t="n">
        <v>46285</v>
      </c>
      <c r="F319">
        <f>IF(E319="","",TEXT(E319,"dddd"))</f>
        <v/>
      </c>
      <c r="G319" t="inlineStr">
        <is>
          <t>8:20 PM</t>
        </is>
      </c>
      <c r="H319" t="inlineStr">
        <is>
          <t>Y</t>
        </is>
      </c>
      <c r="I319" t="inlineStr">
        <is>
          <t>SNF</t>
        </is>
      </c>
      <c r="J319" t="inlineStr">
        <is>
          <t>NFL</t>
        </is>
      </c>
      <c r="K319" t="inlineStr">
        <is>
          <t>NFL</t>
        </is>
      </c>
      <c r="L319" t="inlineStr">
        <is>
          <t>spread</t>
        </is>
      </c>
      <c r="M319" t="inlineStr">
        <is>
          <t>Kansas City Chiefs -5.5 vs Indianapolis Colts (SNF)</t>
        </is>
      </c>
      <c r="N319" t="n">
        <v>1</v>
      </c>
      <c r="O319" t="inlineStr">
        <is>
          <t>-112</t>
        </is>
      </c>
      <c r="P319" s="4" t="n">
        <v>1.8929</v>
      </c>
      <c r="Q319" s="5" t="n">
        <v>336000</v>
      </c>
      <c r="R319" t="inlineStr"/>
      <c r="S319" s="5" t="n">
        <v>635040</v>
      </c>
      <c r="T319" t="inlineStr">
        <is>
          <t>Gamdom</t>
        </is>
      </c>
      <c r="U319" t="inlineStr">
        <is>
          <t>L</t>
        </is>
      </c>
      <c r="V319" s="5">
        <f>IF(NOT(ISNUMBER(Q319)),"",IF(U319="W",IF(ISNUMBER(S319),S319-Q319,IF(ISNUMBER(P319),Q319*(P319-1),"")),IF(U319="L",-Q319,IF(U319="Push",0,""))))</f>
        <v/>
      </c>
      <c r="W319">
        <f>IF(NOT(ISNUMBER(R319)),"",IF(U319="W",IF(ISNUMBER(P319),R319*(P319-1),""),IF(U319="L",-R319,IF(U319="Push",0,""))))</f>
        <v/>
      </c>
      <c r="X319" t="inlineStr">
        <is>
          <t>graded from final</t>
        </is>
      </c>
      <c r="Y319" t="inlineStr">
        <is>
          <t>Y - tags Gamdom</t>
        </is>
      </c>
      <c r="Z319" t="inlineStr">
        <is>
          <t>https://x.com/stevewilldoit/status/2101778389208113642</t>
        </is>
      </c>
      <c r="AA319" t="inlineStr">
        <is>
          <t>"$800,000 on chiefs -3 and -5.5"</t>
        </is>
      </c>
      <c r="AB319" t="inlineStr">
        <is>
          <t>Single</t>
        </is>
      </c>
      <c r="AC319" s="5">
        <f>IF(ISNUMBER(V319),Q319,"")</f>
        <v/>
      </c>
      <c r="AD319">
        <f>IF(ISNUMBER(W319),R319,"")</f>
        <v/>
      </c>
    </row>
    <row r="320">
      <c r="A320" t="inlineStr">
        <is>
          <t>T-578357</t>
        </is>
      </c>
      <c r="B320" t="inlineStr">
        <is>
          <t>Trent</t>
        </is>
      </c>
      <c r="C320" s="2" t="n">
        <v>46285.69493055555</v>
      </c>
      <c r="D320">
        <f>IF(C320="","",TEXT(C320,"dddd"))</f>
        <v/>
      </c>
      <c r="E320" s="3" t="n">
        <v>46285</v>
      </c>
      <c r="F320">
        <f>IF(E320="","",TEXT(E320,"dddd"))</f>
        <v/>
      </c>
      <c r="G320" t="inlineStr">
        <is>
          <t>not matched</t>
        </is>
      </c>
      <c r="H320" t="inlineStr">
        <is>
          <t>Y</t>
        </is>
      </c>
      <c r="I320" t="inlineStr">
        <is>
          <t>SNF</t>
        </is>
      </c>
      <c r="J320" t="inlineStr">
        <is>
          <t>NFL</t>
        </is>
      </c>
      <c r="K320" t="inlineStr">
        <is>
          <t>NFL</t>
        </is>
      </c>
      <c r="L320" t="inlineStr">
        <is>
          <t>spread</t>
        </is>
      </c>
      <c r="M320" t="inlineStr">
        <is>
          <t>Kansas City Chiefs -6.5 vs Colts (SNF)</t>
        </is>
      </c>
      <c r="N320" t="n">
        <v>1</v>
      </c>
      <c r="O320" t="inlineStr">
        <is>
          <t>not shown</t>
        </is>
      </c>
      <c r="P320" s="4" t="inlineStr"/>
      <c r="Q320" s="5" t="inlineStr"/>
      <c r="R320" t="inlineStr"/>
      <c r="S320" s="5" t="inlineStr"/>
      <c r="T320" t="inlineStr">
        <is>
          <t>not shown</t>
        </is>
      </c>
      <c r="U320" t="inlineStr">
        <is>
          <t>L</t>
        </is>
      </c>
      <c r="V320" s="5">
        <f>IF(NOT(ISNUMBER(Q320)),"",IF(U320="W",IF(ISNUMBER(S320),S320-Q320,IF(ISNUMBER(P320),Q320*(P320-1),"")),IF(U320="L",-Q320,IF(U320="Push",0,""))))</f>
        <v/>
      </c>
      <c r="W320">
        <f>IF(NOT(ISNUMBER(R320)),"",IF(U320="W",IF(ISNUMBER(P320),R320*(P320-1),""),IF(U320="L",-R320,IF(U320="Push",0,""))))</f>
        <v/>
      </c>
      <c r="X320" t="inlineStr">
        <is>
          <t>posted</t>
        </is>
      </c>
      <c r="Y320" t="inlineStr">
        <is>
          <t>N</t>
        </is>
      </c>
      <c r="Z320" t="inlineStr">
        <is>
          <t>https://x.com/BookitWithTrent/status/2101788668138578357</t>
        </is>
      </c>
      <c r="AA320" t="inlineStr">
        <is>
          <t>"nuking Chiefs -6.5 for a mortal mega max"; recap 557461 shows ❌; units not stated</t>
        </is>
      </c>
      <c r="AB320" t="inlineStr">
        <is>
          <t>Single</t>
        </is>
      </c>
      <c r="AC320" s="5">
        <f>IF(ISNUMBER(V320),Q320,"")</f>
        <v/>
      </c>
      <c r="AD320">
        <f>IF(ISNUMBER(W320),R320,"")</f>
        <v/>
      </c>
    </row>
    <row r="321">
      <c r="A321" t="inlineStr">
        <is>
          <t>T-021305</t>
        </is>
      </c>
      <c r="B321" t="inlineStr">
        <is>
          <t>Trent</t>
        </is>
      </c>
      <c r="C321" s="2" t="n">
        <v>46285.77774305556</v>
      </c>
      <c r="D321">
        <f>IF(C321="","",TEXT(C321,"dddd"))</f>
        <v/>
      </c>
      <c r="E321" s="3" t="n">
        <v>46285</v>
      </c>
      <c r="F321">
        <f>IF(E321="","",TEXT(E321,"dddd"))</f>
        <v/>
      </c>
      <c r="G321" t="inlineStr">
        <is>
          <t>not matched</t>
        </is>
      </c>
      <c r="H321" t="inlineStr">
        <is>
          <t>Y</t>
        </is>
      </c>
      <c r="I321" t="inlineStr">
        <is>
          <t>SNF</t>
        </is>
      </c>
      <c r="J321" t="inlineStr">
        <is>
          <t>NFL</t>
        </is>
      </c>
      <c r="K321" t="inlineStr">
        <is>
          <t>NFL</t>
        </is>
      </c>
      <c r="L321" t="inlineStr">
        <is>
          <t>first TD</t>
        </is>
      </c>
      <c r="M321" t="inlineStr">
        <is>
          <t>Patrick Mahomes first TD scorer (SNF)</t>
        </is>
      </c>
      <c r="N321" t="n">
        <v>1</v>
      </c>
      <c r="O321" t="inlineStr">
        <is>
          <t>+2000</t>
        </is>
      </c>
      <c r="P321" s="4" t="n">
        <v>21</v>
      </c>
      <c r="Q321" s="5" t="inlineStr"/>
      <c r="R321" t="inlineStr"/>
      <c r="S321" s="5" t="inlineStr"/>
      <c r="T321" t="inlineStr">
        <is>
          <t>not shown</t>
        </is>
      </c>
      <c r="U321" t="inlineStr">
        <is>
          <t>L</t>
        </is>
      </c>
      <c r="V321" s="5">
        <f>IF(NOT(ISNUMBER(Q321)),"",IF(U321="W",IF(ISNUMBER(S321),S321-Q321,IF(ISNUMBER(P321),Q321*(P321-1),"")),IF(U321="L",-Q321,IF(U321="Push",0,""))))</f>
        <v/>
      </c>
      <c r="W321">
        <f>IF(NOT(ISNUMBER(R321)),"",IF(U321="W",IF(ISNUMBER(P321),R321*(P321-1),""),IF(U321="L",-R321,IF(U321="Push",0,""))))</f>
        <v/>
      </c>
      <c r="X321" t="inlineStr">
        <is>
          <t>posted</t>
        </is>
      </c>
      <c r="Y321" t="inlineStr">
        <is>
          <t>N</t>
        </is>
      </c>
      <c r="Z321" t="inlineStr">
        <is>
          <t>https://x.com/BookitWithTrent/status/2101818677268021305</t>
        </is>
      </c>
      <c r="AA321" t="inlineStr">
        <is>
          <t>Collab w/ @gavinmchughh; "didn't even have a chance"; record to 0-6</t>
        </is>
      </c>
      <c r="AB321" t="inlineStr">
        <is>
          <t>Single</t>
        </is>
      </c>
      <c r="AC321" s="5">
        <f>IF(ISNUMBER(V321),Q321,"")</f>
        <v/>
      </c>
      <c r="AD321">
        <f>IF(ISNUMBER(W321),R321,"")</f>
        <v/>
      </c>
    </row>
    <row r="322">
      <c r="A322" t="inlineStr">
        <is>
          <t>S-061851</t>
        </is>
      </c>
      <c r="B322" t="inlineStr">
        <is>
          <t>Steve</t>
        </is>
      </c>
      <c r="C322" s="2" t="n">
        <v>46285.78554398148</v>
      </c>
      <c r="D322">
        <f>IF(C322="","",TEXT(C322,"dddd"))</f>
        <v/>
      </c>
      <c r="E322" s="3" t="n">
        <v>46285</v>
      </c>
      <c r="F322">
        <f>IF(E322="","",TEXT(E322,"dddd"))</f>
        <v/>
      </c>
      <c r="G322" t="inlineStr">
        <is>
          <t>8:20 PM</t>
        </is>
      </c>
      <c r="H322" t="inlineStr">
        <is>
          <t>Y</t>
        </is>
      </c>
      <c r="I322" t="inlineStr">
        <is>
          <t>SNF</t>
        </is>
      </c>
      <c r="J322" t="inlineStr">
        <is>
          <t>NFL</t>
        </is>
      </c>
      <c r="K322" t="inlineStr">
        <is>
          <t>NFL</t>
        </is>
      </c>
      <c r="L322" t="inlineStr">
        <is>
          <t>spread</t>
        </is>
      </c>
      <c r="M322" t="inlineStr">
        <is>
          <t>Kansas City Chiefs -7 vs Indianapolis Colts (SNF)</t>
        </is>
      </c>
      <c r="N322" t="n">
        <v>1</v>
      </c>
      <c r="O322" t="inlineStr">
        <is>
          <t>+115</t>
        </is>
      </c>
      <c r="P322" s="4" t="n">
        <v>2.15</v>
      </c>
      <c r="Q322" s="5" t="n">
        <v>78000</v>
      </c>
      <c r="R322" t="inlineStr"/>
      <c r="S322" s="5" t="n">
        <v>167700</v>
      </c>
      <c r="T322" t="inlineStr">
        <is>
          <t>Gamdom</t>
        </is>
      </c>
      <c r="U322" t="inlineStr">
        <is>
          <t>L</t>
        </is>
      </c>
      <c r="V322" s="5">
        <f>IF(NOT(ISNUMBER(Q322)),"",IF(U322="W",IF(ISNUMBER(S322),S322-Q322,IF(ISNUMBER(P322),Q322*(P322-1),"")),IF(U322="L",-Q322,IF(U322="Push",0,""))))</f>
        <v/>
      </c>
      <c r="W322">
        <f>IF(NOT(ISNUMBER(R322)),"",IF(U322="W",IF(ISNUMBER(P322),R322*(P322-1),""),IF(U322="L",-R322,IF(U322="Push",0,""))))</f>
        <v/>
      </c>
      <c r="X322" t="inlineStr">
        <is>
          <t>graded from final</t>
        </is>
      </c>
      <c r="Y322" t="inlineStr">
        <is>
          <t>N</t>
        </is>
      </c>
      <c r="Z322" t="inlineStr">
        <is>
          <t>https://x.com/stevewilldoit/status/2101821505550061851</t>
        </is>
      </c>
      <c r="AA322" t="inlineStr">
        <is>
          <t>"Plz chiefs"</t>
        </is>
      </c>
      <c r="AB322" t="inlineStr">
        <is>
          <t>Single</t>
        </is>
      </c>
      <c r="AC322" s="5">
        <f>IF(ISNUMBER(V322),Q322,"")</f>
        <v/>
      </c>
      <c r="AD322">
        <f>IF(ISNUMBER(W322),R322,"")</f>
        <v/>
      </c>
    </row>
    <row r="323">
      <c r="A323" t="inlineStr">
        <is>
          <t>T-056440</t>
        </is>
      </c>
      <c r="B323" t="inlineStr">
        <is>
          <t>Trent</t>
        </is>
      </c>
      <c r="C323" s="2" t="n">
        <v>46286.59840277778</v>
      </c>
      <c r="D323">
        <f>IF(C323="","",TEXT(C323,"dddd"))</f>
        <v/>
      </c>
      <c r="E323" s="3" t="n">
        <v>46286</v>
      </c>
      <c r="F323">
        <f>IF(E323="","",TEXT(E323,"dddd"))</f>
        <v/>
      </c>
      <c r="G323" t="inlineStr">
        <is>
          <t>8:15 PM</t>
        </is>
      </c>
      <c r="H323" t="inlineStr">
        <is>
          <t>Y</t>
        </is>
      </c>
      <c r="I323" t="inlineStr">
        <is>
          <t>MNF</t>
        </is>
      </c>
      <c r="J323" t="inlineStr">
        <is>
          <t>NFL</t>
        </is>
      </c>
      <c r="K323" t="inlineStr">
        <is>
          <t>NFL</t>
        </is>
      </c>
      <c r="L323" t="inlineStr">
        <is>
          <t>spread</t>
        </is>
      </c>
      <c r="M323" t="inlineStr">
        <is>
          <t>Los Angeles Rams -7 vs NY Giants (MNF)</t>
        </is>
      </c>
      <c r="N323" t="n">
        <v>1</v>
      </c>
      <c r="O323" t="inlineStr">
        <is>
          <t>not shown</t>
        </is>
      </c>
      <c r="P323" s="4" t="inlineStr"/>
      <c r="Q323" s="5" t="inlineStr"/>
      <c r="R323" t="n">
        <v>5</v>
      </c>
      <c r="S323" s="5" t="inlineStr"/>
      <c r="T323" t="inlineStr">
        <is>
          <t>not shown</t>
        </is>
      </c>
      <c r="U323" t="inlineStr">
        <is>
          <t>W</t>
        </is>
      </c>
      <c r="V323" s="5">
        <f>IF(NOT(ISNUMBER(Q323)),"",IF(U323="W",IF(ISNUMBER(S323),S323-Q323,IF(ISNUMBER(P323),Q323*(P323-1),"")),IF(U323="L",-Q323,IF(U323="Push",0,""))))</f>
        <v/>
      </c>
      <c r="W323">
        <f>IF(NOT(ISNUMBER(R323)),"",IF(U323="W",IF(ISNUMBER(P323),R323*(P323-1),""),IF(U323="L",-R323,IF(U323="Push",0,""))))</f>
        <v/>
      </c>
      <c r="X323" t="inlineStr">
        <is>
          <t>graded from final</t>
        </is>
      </c>
      <c r="Y323" t="inlineStr">
        <is>
          <t>N</t>
        </is>
      </c>
      <c r="Z323" t="inlineStr">
        <is>
          <t>https://x.com/BookitWithTrent/status/2102116077392056440</t>
        </is>
      </c>
      <c r="AA323" t="inlineStr">
        <is>
          <t>"MONDAY NIGHT MORTAL MEGA MAX" 5U</t>
        </is>
      </c>
      <c r="AB323" t="inlineStr">
        <is>
          <t>Single</t>
        </is>
      </c>
      <c r="AC323" s="5">
        <f>IF(ISNUMBER(V323),Q323,"")</f>
        <v/>
      </c>
      <c r="AD323">
        <f>IF(ISNUMBER(W323),R323,"")</f>
        <v/>
      </c>
    </row>
    <row r="324">
      <c r="A324" t="inlineStr">
        <is>
          <t>T-327969</t>
        </is>
      </c>
      <c r="B324" t="inlineStr">
        <is>
          <t>Trent</t>
        </is>
      </c>
      <c r="C324" s="2" t="n">
        <v>46286.62349537037</v>
      </c>
      <c r="D324">
        <f>IF(C324="","",TEXT(C324,"dddd"))</f>
        <v/>
      </c>
      <c r="E324" s="3" t="n">
        <v>46286</v>
      </c>
      <c r="F324">
        <f>IF(E324="","",TEXT(E324,"dddd"))</f>
        <v/>
      </c>
      <c r="G324" t="inlineStr">
        <is>
          <t>8:15 PM</t>
        </is>
      </c>
      <c r="H324" t="inlineStr">
        <is>
          <t>Y</t>
        </is>
      </c>
      <c r="I324" t="inlineStr">
        <is>
          <t>MNF</t>
        </is>
      </c>
      <c r="J324" t="inlineStr">
        <is>
          <t>NFL</t>
        </is>
      </c>
      <c r="K324" t="inlineStr">
        <is>
          <t>NFL</t>
        </is>
      </c>
      <c r="L324" t="inlineStr">
        <is>
          <t>first TD</t>
        </is>
      </c>
      <c r="M324" t="inlineStr">
        <is>
          <t>Konata Mumpfield first TD scorer (MNF)</t>
        </is>
      </c>
      <c r="N324" t="n">
        <v>1</v>
      </c>
      <c r="O324" t="inlineStr">
        <is>
          <t>+2500</t>
        </is>
      </c>
      <c r="P324" s="4" t="n">
        <v>26</v>
      </c>
      <c r="Q324" s="5" t="inlineStr"/>
      <c r="R324" t="inlineStr"/>
      <c r="S324" s="5" t="n">
        <v>5000</v>
      </c>
      <c r="T324" t="inlineStr">
        <is>
          <t>PrizePicks</t>
        </is>
      </c>
      <c r="U324" t="inlineStr">
        <is>
          <t>L</t>
        </is>
      </c>
      <c r="V324" s="5">
        <f>IF(NOT(ISNUMBER(Q324)),"",IF(U324="W",IF(ISNUMBER(S324),S324-Q324,IF(ISNUMBER(P324),Q324*(P324-1),"")),IF(U324="L",-Q324,IF(U324="Push",0,""))))</f>
        <v/>
      </c>
      <c r="W324">
        <f>IF(NOT(ISNUMBER(R324)),"",IF(U324="W",IF(ISNUMBER(P324),R324*(P324-1),""),IF(U324="L",-R324,IF(U324="Push",0,""))))</f>
        <v/>
      </c>
      <c r="X324" t="inlineStr">
        <is>
          <t>posted</t>
        </is>
      </c>
      <c r="Y324" t="inlineStr">
        <is>
          <t>N</t>
        </is>
      </c>
      <c r="Z324" t="inlineStr">
        <is>
          <t>https://x.com/BookitWithTrent/status/2102125166784327969</t>
        </is>
      </c>
      <c r="AA324" t="inlineStr">
        <is>
          <t>"was always Adam's first TD fuck"; record to 0-7; PrizePicks 22.22x slip, $5,000 to win, stake not shown</t>
        </is>
      </c>
      <c r="AB324" t="inlineStr">
        <is>
          <t>Single</t>
        </is>
      </c>
      <c r="AC324" s="5">
        <f>IF(ISNUMBER(V324),Q324,"")</f>
        <v/>
      </c>
      <c r="AD324">
        <f>IF(ISNUMBER(W324),R324,"")</f>
        <v/>
      </c>
    </row>
    <row r="325">
      <c r="A325" t="inlineStr">
        <is>
          <t>T-800793</t>
        </is>
      </c>
      <c r="B325" t="inlineStr">
        <is>
          <t>Trent</t>
        </is>
      </c>
      <c r="C325" s="2" t="n">
        <v>46286.63091435185</v>
      </c>
      <c r="D325">
        <f>IF(C325="","",TEXT(C325,"dddd"))</f>
        <v/>
      </c>
      <c r="E325" s="3" t="n">
        <v>46286</v>
      </c>
      <c r="F325">
        <f>IF(E325="","",TEXT(E325,"dddd"))</f>
        <v/>
      </c>
      <c r="G325" t="inlineStr">
        <is>
          <t>8:15 PM</t>
        </is>
      </c>
      <c r="H325" t="inlineStr">
        <is>
          <t>Y</t>
        </is>
      </c>
      <c r="I325" t="inlineStr">
        <is>
          <t>MNF</t>
        </is>
      </c>
      <c r="J325" t="inlineStr">
        <is>
          <t>NFL</t>
        </is>
      </c>
      <c r="K325" t="inlineStr">
        <is>
          <t>NFL</t>
        </is>
      </c>
      <c r="L325" t="inlineStr">
        <is>
          <t>PrizePicks/DFS</t>
        </is>
      </c>
      <c r="M325" t="inlineStr">
        <is>
          <t>Davante Adams o14.5 fantasy score; Isaiah Likely o6 rec targets; Jaxson Dart o33.5 rush yds; Kyren Williams o14 rush att</t>
        </is>
      </c>
      <c r="N325" t="n">
        <v>4</v>
      </c>
      <c r="O325" t="inlineStr">
        <is>
          <t>+900</t>
        </is>
      </c>
      <c r="P325" s="4" t="n">
        <v>10</v>
      </c>
      <c r="Q325" s="5" t="n">
        <v>1000</v>
      </c>
      <c r="R325" t="inlineStr"/>
      <c r="S325" s="5" t="n">
        <v>10000</v>
      </c>
      <c r="T325" t="inlineStr">
        <is>
          <t>PrizePicks</t>
        </is>
      </c>
      <c r="U325" t="inlineStr">
        <is>
          <t>L</t>
        </is>
      </c>
      <c r="V325" s="5">
        <f>IF(NOT(ISNUMBER(Q325)),"",IF(U325="W",IF(ISNUMBER(S325),S325-Q325,IF(ISNUMBER(P325),Q325*(P325-1),"")),IF(U325="L",-Q325,IF(U325="Push",0,""))))</f>
        <v/>
      </c>
      <c r="W325">
        <f>IF(NOT(ISNUMBER(R325)),"",IF(U325="W",IF(ISNUMBER(P325),R325*(P325-1),""),IF(U325="L",-R325,IF(U325="Push",0,""))))</f>
        <v/>
      </c>
      <c r="X325" t="inlineStr">
        <is>
          <t>graded from final</t>
        </is>
      </c>
      <c r="Y325" t="inlineStr">
        <is>
          <t>N</t>
        </is>
      </c>
      <c r="Z325" t="inlineStr">
        <is>
          <t>https://x.com/BookitWithTrent/status/2102127858109800793</t>
        </is>
      </c>
      <c r="AA325" t="inlineStr">
        <is>
          <t>"MONDAY NIGHT SCRIPTURES"; Final: Kyren Williams 12 rush att; Dart 0 rush yds</t>
        </is>
      </c>
      <c r="AB325" t="inlineStr">
        <is>
          <t>Parlay/multi-leg</t>
        </is>
      </c>
      <c r="AC325" s="5">
        <f>IF(ISNUMBER(V325),Q325,"")</f>
        <v/>
      </c>
      <c r="AD325">
        <f>IF(ISNUMBER(W325),R325,"")</f>
        <v/>
      </c>
    </row>
    <row r="326">
      <c r="A326" t="inlineStr">
        <is>
          <t>T-768174</t>
        </is>
      </c>
      <c r="B326" t="inlineStr">
        <is>
          <t>Trent</t>
        </is>
      </c>
      <c r="C326" s="2" t="n">
        <v>46286.63131944444</v>
      </c>
      <c r="D326">
        <f>IF(C326="","",TEXT(C326,"dddd"))</f>
        <v/>
      </c>
      <c r="E326" s="3" t="n">
        <v>46286</v>
      </c>
      <c r="F326">
        <f>IF(E326="","",TEXT(E326,"dddd"))</f>
        <v/>
      </c>
      <c r="G326" t="inlineStr">
        <is>
          <t>8:15 PM</t>
        </is>
      </c>
      <c r="H326" t="inlineStr">
        <is>
          <t>Y</t>
        </is>
      </c>
      <c r="I326" t="inlineStr">
        <is>
          <t>MNF</t>
        </is>
      </c>
      <c r="J326" t="inlineStr">
        <is>
          <t>NFL</t>
        </is>
      </c>
      <c r="K326" t="inlineStr">
        <is>
          <t>NFL</t>
        </is>
      </c>
      <c r="L326" t="inlineStr">
        <is>
          <t>PrizePicks/DFS</t>
        </is>
      </c>
      <c r="M326" t="inlineStr">
        <is>
          <t>Cam Skattebo u10.5 fantasy score; Davante Adams o62.5 rec yds; Jaxson Dart o30.5 pass att; Kyren Williams o84.5 rush+rec yds</t>
        </is>
      </c>
      <c r="N326" t="n">
        <v>4</v>
      </c>
      <c r="O326" t="inlineStr">
        <is>
          <t>+900</t>
        </is>
      </c>
      <c r="P326" s="4" t="n">
        <v>10</v>
      </c>
      <c r="Q326" s="5" t="n">
        <v>1000</v>
      </c>
      <c r="R326" t="inlineStr"/>
      <c r="S326" s="5" t="n">
        <v>10000</v>
      </c>
      <c r="T326" t="inlineStr">
        <is>
          <t>PrizePicks</t>
        </is>
      </c>
      <c r="U326" t="inlineStr">
        <is>
          <t>L</t>
        </is>
      </c>
      <c r="V326" s="5">
        <f>IF(NOT(ISNUMBER(Q326)),"",IF(U326="W",IF(ISNUMBER(S326),S326-Q326,IF(ISNUMBER(P326),Q326*(P326-1),"")),IF(U326="L",-Q326,IF(U326="Push",0,""))))</f>
        <v/>
      </c>
      <c r="W326">
        <f>IF(NOT(ISNUMBER(R326)),"",IF(U326="W",IF(ISNUMBER(P326),R326*(P326-1),""),IF(U326="L",-R326,IF(U326="Push",0,""))))</f>
        <v/>
      </c>
      <c r="X326" t="inlineStr">
        <is>
          <t>graded from final</t>
        </is>
      </c>
      <c r="Y326" t="inlineStr">
        <is>
          <t>N</t>
        </is>
      </c>
      <c r="Z326" t="inlineStr">
        <is>
          <t>https://x.com/BookitWithTrent/status/2102128002670768174</t>
        </is>
      </c>
      <c r="AA326" t="inlineStr">
        <is>
          <t>"also riding this one"; Final: Dart 5 pass att</t>
        </is>
      </c>
      <c r="AB326" t="inlineStr">
        <is>
          <t>Parlay/multi-leg</t>
        </is>
      </c>
      <c r="AC326" s="5">
        <f>IF(ISNUMBER(V326),Q326,"")</f>
        <v/>
      </c>
      <c r="AD326">
        <f>IF(ISNUMBER(W326),R326,"")</f>
        <v/>
      </c>
    </row>
    <row r="327">
      <c r="A327" t="inlineStr">
        <is>
          <t>T-804575</t>
        </is>
      </c>
      <c r="B327" t="inlineStr">
        <is>
          <t>Trent</t>
        </is>
      </c>
      <c r="C327" s="2" t="n">
        <v>46286.72746527778</v>
      </c>
      <c r="D327">
        <f>IF(C327="","",TEXT(C327,"dddd"))</f>
        <v/>
      </c>
      <c r="E327" s="3" t="n">
        <v>46286</v>
      </c>
      <c r="F327">
        <f>IF(E327="","",TEXT(E327,"dddd"))</f>
        <v/>
      </c>
      <c r="G327" t="inlineStr">
        <is>
          <t>8:15 PM</t>
        </is>
      </c>
      <c r="H327" t="inlineStr">
        <is>
          <t>Y</t>
        </is>
      </c>
      <c r="I327" t="inlineStr">
        <is>
          <t>MNF</t>
        </is>
      </c>
      <c r="J327" t="inlineStr">
        <is>
          <t>NFL</t>
        </is>
      </c>
      <c r="K327" t="inlineStr">
        <is>
          <t>NFL</t>
        </is>
      </c>
      <c r="L327" t="inlineStr">
        <is>
          <t>PrizePicks/DFS</t>
        </is>
      </c>
      <c r="M327" t="inlineStr">
        <is>
          <t>Kyren Williams o3.5 qtrs w/5+ rush yds; Davante Adams o23.5 longest rec; Jaxson Dart u63.9 completion %; Jordan Stout o1.5 punts inside 20</t>
        </is>
      </c>
      <c r="N327" t="n">
        <v>4</v>
      </c>
      <c r="O327" t="inlineStr">
        <is>
          <t>+900</t>
        </is>
      </c>
      <c r="P327" s="4" t="n">
        <v>10</v>
      </c>
      <c r="Q327" s="5" t="n">
        <v>500</v>
      </c>
      <c r="R327" t="inlineStr"/>
      <c r="S327" s="5" t="n">
        <v>5000</v>
      </c>
      <c r="T327" t="inlineStr">
        <is>
          <t>PrizePicks</t>
        </is>
      </c>
      <c r="U327" t="inlineStr">
        <is>
          <t>L</t>
        </is>
      </c>
      <c r="V327" s="5">
        <f>IF(NOT(ISNUMBER(Q327)),"",IF(U327="W",IF(ISNUMBER(S327),S327-Q327,IF(ISNUMBER(P327),Q327*(P327-1),"")),IF(U327="L",-Q327,IF(U327="Push",0,""))))</f>
        <v/>
      </c>
      <c r="W327">
        <f>IF(NOT(ISNUMBER(R327)),"",IF(U327="W",IF(ISNUMBER(P327),R327*(P327-1),""),IF(U327="L",-R327,IF(U327="Push",0,""))))</f>
        <v/>
      </c>
      <c r="X327" t="inlineStr">
        <is>
          <t>posted</t>
        </is>
      </c>
      <c r="Y327" t="inlineStr">
        <is>
          <t>N</t>
        </is>
      </c>
      <c r="Z327" t="inlineStr">
        <is>
          <t>https://x.com/BookitWithTrent/status/2102162848289804575</t>
        </is>
      </c>
      <c r="AA327" t="inlineStr">
        <is>
          <t>"Kyren finished with 2 rushing yards in the first quarter"</t>
        </is>
      </c>
      <c r="AB327" t="inlineStr">
        <is>
          <t>Parlay/multi-leg</t>
        </is>
      </c>
      <c r="AC327" s="5">
        <f>IF(ISNUMBER(V327),Q327,"")</f>
        <v/>
      </c>
      <c r="AD327">
        <f>IF(ISNUMBER(W327),R327,"")</f>
        <v/>
      </c>
    </row>
    <row r="328">
      <c r="A328" t="inlineStr">
        <is>
          <t>S-626176</t>
        </is>
      </c>
      <c r="B328" t="inlineStr">
        <is>
          <t>Steve</t>
        </is>
      </c>
      <c r="C328" s="2" t="n">
        <v>46286.81208333333</v>
      </c>
      <c r="D328">
        <f>IF(C328="","",TEXT(C328,"dddd"))</f>
        <v/>
      </c>
      <c r="E328" s="3" t="n">
        <v>46286</v>
      </c>
      <c r="F328">
        <f>IF(E328="","",TEXT(E328,"dddd"))</f>
        <v/>
      </c>
      <c r="G328" t="inlineStr">
        <is>
          <t>8:15 PM</t>
        </is>
      </c>
      <c r="H328" t="inlineStr">
        <is>
          <t>Y</t>
        </is>
      </c>
      <c r="I328" t="inlineStr">
        <is>
          <t>MNF</t>
        </is>
      </c>
      <c r="J328" t="inlineStr">
        <is>
          <t>NFL</t>
        </is>
      </c>
      <c r="K328" t="inlineStr">
        <is>
          <t>NFL</t>
        </is>
      </c>
      <c r="L328" t="inlineStr">
        <is>
          <t>spread</t>
        </is>
      </c>
      <c r="M328" t="inlineStr">
        <is>
          <t>New York Giants +7.5 vs LA Rams (MNF)</t>
        </is>
      </c>
      <c r="N328" t="n">
        <v>1</v>
      </c>
      <c r="O328" t="inlineStr">
        <is>
          <t>-108</t>
        </is>
      </c>
      <c r="P328" s="4" t="n">
        <v>1.9259</v>
      </c>
      <c r="Q328" s="5" t="n">
        <v>400000</v>
      </c>
      <c r="R328" t="inlineStr"/>
      <c r="S328" s="5" t="n">
        <v>772000</v>
      </c>
      <c r="T328" t="inlineStr">
        <is>
          <t>Gamdom</t>
        </is>
      </c>
      <c r="U328" t="inlineStr">
        <is>
          <t>L</t>
        </is>
      </c>
      <c r="V328" s="5">
        <f>IF(NOT(ISNUMBER(Q328)),"",IF(U328="W",IF(ISNUMBER(S328),S328-Q328,IF(ISNUMBER(P328),Q328*(P328-1),"")),IF(U328="L",-Q328,IF(U328="Push",0,""))))</f>
        <v/>
      </c>
      <c r="W328">
        <f>IF(NOT(ISNUMBER(R328)),"",IF(U328="W",IF(ISNUMBER(P328),R328*(P328-1),""),IF(U328="L",-R328,IF(U328="Push",0,""))))</f>
        <v/>
      </c>
      <c r="X328" t="inlineStr">
        <is>
          <t>graded from final</t>
        </is>
      </c>
      <c r="Y328" t="inlineStr">
        <is>
          <t>Y - tags Gamdom</t>
        </is>
      </c>
      <c r="Z328" t="inlineStr">
        <is>
          <t>https://x.com/stevewilldoit/status/2102193510195626176</t>
        </is>
      </c>
      <c r="AA328" t="inlineStr">
        <is>
          <t>"Got my bet late"</t>
        </is>
      </c>
      <c r="AB328" t="inlineStr">
        <is>
          <t>Single</t>
        </is>
      </c>
      <c r="AC328" s="5">
        <f>IF(ISNUMBER(V328),Q328,"")</f>
        <v/>
      </c>
      <c r="AD328">
        <f>IF(ISNUMBER(W328),R328,"")</f>
        <v/>
      </c>
    </row>
    <row r="329">
      <c r="A329" t="inlineStr">
        <is>
          <t>S-928090</t>
        </is>
      </c>
      <c r="B329" t="inlineStr">
        <is>
          <t>Steve</t>
        </is>
      </c>
      <c r="C329" s="2" t="n">
        <v>46286.81288194445</v>
      </c>
      <c r="D329">
        <f>IF(C329="","",TEXT(C329,"dddd"))</f>
        <v/>
      </c>
      <c r="E329" s="3" t="n">
        <v>46286</v>
      </c>
      <c r="F329">
        <f>IF(E329="","",TEXT(E329,"dddd"))</f>
        <v/>
      </c>
      <c r="G329" t="inlineStr">
        <is>
          <t>8:15 PM</t>
        </is>
      </c>
      <c r="H329" t="inlineStr">
        <is>
          <t>Y</t>
        </is>
      </c>
      <c r="I329" t="inlineStr">
        <is>
          <t>MNF</t>
        </is>
      </c>
      <c r="J329" t="inlineStr">
        <is>
          <t>NFL</t>
        </is>
      </c>
      <c r="K329" t="inlineStr">
        <is>
          <t>NFL</t>
        </is>
      </c>
      <c r="L329" t="inlineStr">
        <is>
          <t>ML</t>
        </is>
      </c>
      <c r="M329" t="inlineStr">
        <is>
          <t>New York Giants ML vs LA Rams (MNF)</t>
        </is>
      </c>
      <c r="N329" t="n">
        <v>1</v>
      </c>
      <c r="O329" t="inlineStr">
        <is>
          <t>+296</t>
        </is>
      </c>
      <c r="P329" s="4" t="n">
        <v>3.96</v>
      </c>
      <c r="Q329" s="5" t="n">
        <v>50000</v>
      </c>
      <c r="R329" t="inlineStr"/>
      <c r="S329" s="5" t="n">
        <v>198000</v>
      </c>
      <c r="T329" t="inlineStr">
        <is>
          <t>Gamdom</t>
        </is>
      </c>
      <c r="U329" t="inlineStr">
        <is>
          <t>L</t>
        </is>
      </c>
      <c r="V329" s="5">
        <f>IF(NOT(ISNUMBER(Q329)),"",IF(U329="W",IF(ISNUMBER(S329),S329-Q329,IF(ISNUMBER(P329),Q329*(P329-1),"")),IF(U329="L",-Q329,IF(U329="Push",0,""))))</f>
        <v/>
      </c>
      <c r="W329">
        <f>IF(NOT(ISNUMBER(R329)),"",IF(U329="W",IF(ISNUMBER(P329),R329*(P329-1),""),IF(U329="L",-R329,IF(U329="Push",0,""))))</f>
        <v/>
      </c>
      <c r="X329" t="inlineStr">
        <is>
          <t>graded from final</t>
        </is>
      </c>
      <c r="Y329" t="inlineStr">
        <is>
          <t>Y - tags Gamdom</t>
        </is>
      </c>
      <c r="Z329" t="inlineStr">
        <is>
          <t>https://x.com/stevewilldoit/status/2102193799157928090</t>
        </is>
      </c>
      <c r="AA329" t="inlineStr"/>
      <c r="AB329" t="inlineStr">
        <is>
          <t>Single</t>
        </is>
      </c>
      <c r="AC329" s="5">
        <f>IF(ISNUMBER(V329),Q329,"")</f>
        <v/>
      </c>
      <c r="AD329">
        <f>IF(ISNUMBER(W329),R329,"")</f>
        <v/>
      </c>
    </row>
    <row r="330">
      <c r="A330" t="inlineStr">
        <is>
          <t>T-843038</t>
        </is>
      </c>
      <c r="B330" t="inlineStr">
        <is>
          <t>Trent</t>
        </is>
      </c>
      <c r="C330" s="2" t="n">
        <v>46287.50805555555</v>
      </c>
      <c r="D330">
        <f>IF(C330="","",TEXT(C330,"dddd"))</f>
        <v/>
      </c>
      <c r="E330" s="3" t="n">
        <v>46287</v>
      </c>
      <c r="F330">
        <f>IF(E330="","",TEXT(E330,"dddd"))</f>
        <v/>
      </c>
      <c r="G330" t="inlineStr">
        <is>
          <t>not matched</t>
        </is>
      </c>
      <c r="H330" t="inlineStr">
        <is>
          <t>N</t>
        </is>
      </c>
      <c r="I330" t="inlineStr"/>
      <c r="J330" t="inlineStr">
        <is>
          <t>MLB</t>
        </is>
      </c>
      <c r="K330" t="inlineStr">
        <is>
          <t>MLB</t>
        </is>
      </c>
      <c r="L330" t="inlineStr">
        <is>
          <t>PrizePicks/DFS</t>
        </is>
      </c>
      <c r="M330" t="inlineStr">
        <is>
          <t>H+R+RBI o2.5 (demon): James Wood; Ronald Acuna Jr.; Bobby Witt Jr.; Nolan Arenado; Shea Langeliers; Freddie Freeman</t>
        </is>
      </c>
      <c r="N330" t="n">
        <v>6</v>
      </c>
      <c r="O330" t="inlineStr">
        <is>
          <t>+12100</t>
        </is>
      </c>
      <c r="P330" s="4" t="n">
        <v>122</v>
      </c>
      <c r="Q330" s="5" t="n">
        <v>500</v>
      </c>
      <c r="R330" t="inlineStr"/>
      <c r="S330" s="5" t="n">
        <v>61000</v>
      </c>
      <c r="T330" t="inlineStr">
        <is>
          <t>PrizePicks</t>
        </is>
      </c>
      <c r="U330" t="inlineStr">
        <is>
          <t>L</t>
        </is>
      </c>
      <c r="V330" s="5">
        <f>IF(NOT(ISNUMBER(Q330)),"",IF(U330="W",IF(ISNUMBER(S330),S330-Q330,IF(ISNUMBER(P330),Q330*(P330-1),"")),IF(U330="L",-Q330,IF(U330="Push",0,""))))</f>
        <v/>
      </c>
      <c r="W330">
        <f>IF(NOT(ISNUMBER(R330)),"",IF(U330="W",IF(ISNUMBER(P330),R330*(P330-1),""),IF(U330="L",-R330,IF(U330="Push",0,""))))</f>
        <v/>
      </c>
      <c r="X330" t="inlineStr">
        <is>
          <t>posted</t>
        </is>
      </c>
      <c r="Y330" t="inlineStr">
        <is>
          <t>N</t>
        </is>
      </c>
      <c r="Z330" t="inlineStr">
        <is>
          <t>https://x.com/BookitWithTrent/status/2102445721374843038</t>
        </is>
      </c>
      <c r="AA330" t="inlineStr">
        <is>
          <t>"2000 people tailed. James Wood sold."</t>
        </is>
      </c>
      <c r="AB330" t="inlineStr">
        <is>
          <t>Parlay/multi-leg</t>
        </is>
      </c>
      <c r="AC330" s="5">
        <f>IF(ISNUMBER(V330),Q330,"")</f>
        <v/>
      </c>
      <c r="AD330">
        <f>IF(ISNUMBER(W330),R330,"")</f>
        <v/>
      </c>
    </row>
    <row r="331">
      <c r="A331" t="inlineStr">
        <is>
          <t>T-545142</t>
        </is>
      </c>
      <c r="B331" t="inlineStr">
        <is>
          <t>Trent</t>
        </is>
      </c>
      <c r="C331" s="2" t="n">
        <v>46287.53023148148</v>
      </c>
      <c r="D331">
        <f>IF(C331="","",TEXT(C331,"dddd"))</f>
        <v/>
      </c>
      <c r="E331" s="3" t="n">
        <v>46287</v>
      </c>
      <c r="F331">
        <f>IF(E331="","",TEXT(E331,"dddd"))</f>
        <v/>
      </c>
      <c r="G331" t="inlineStr">
        <is>
          <t>10:10 PM</t>
        </is>
      </c>
      <c r="H331" t="inlineStr">
        <is>
          <t>N</t>
        </is>
      </c>
      <c r="I331" t="inlineStr"/>
      <c r="J331" t="inlineStr">
        <is>
          <t>MLB</t>
        </is>
      </c>
      <c r="K331" t="inlineStr">
        <is>
          <t>MLB</t>
        </is>
      </c>
      <c r="L331" t="inlineStr">
        <is>
          <t>parlay</t>
        </is>
      </c>
      <c r="M331" t="inlineStr">
        <is>
          <t>Braves ML; White Sox ML; Cubs ML; Diamondbacks ML; Dodgers ML</t>
        </is>
      </c>
      <c r="N331" t="n">
        <v>5</v>
      </c>
      <c r="O331" t="inlineStr">
        <is>
          <t>+1000</t>
        </is>
      </c>
      <c r="P331" s="4" t="n">
        <v>11</v>
      </c>
      <c r="Q331" s="5" t="n">
        <v>1000</v>
      </c>
      <c r="R331" t="inlineStr"/>
      <c r="S331" s="5" t="n">
        <v>11000</v>
      </c>
      <c r="T331" t="inlineStr">
        <is>
          <t>Pikkit</t>
        </is>
      </c>
      <c r="U331" t="inlineStr">
        <is>
          <t>L</t>
        </is>
      </c>
      <c r="V331" s="5">
        <f>IF(NOT(ISNUMBER(Q331)),"",IF(U331="W",IF(ISNUMBER(S331),S331-Q331,IF(ISNUMBER(P331),Q331*(P331-1),"")),IF(U331="L",-Q331,IF(U331="Push",0,""))))</f>
        <v/>
      </c>
      <c r="W331">
        <f>IF(NOT(ISNUMBER(R331)),"",IF(U331="W",IF(ISNUMBER(P331),R331*(P331-1),""),IF(U331="L",-R331,IF(U331="Push",0,""))))</f>
        <v/>
      </c>
      <c r="X331" t="inlineStr">
        <is>
          <t>graded from final</t>
        </is>
      </c>
      <c r="Y331" t="inlineStr">
        <is>
          <t>N</t>
        </is>
      </c>
      <c r="Z331" t="inlineStr">
        <is>
          <t>https://x.com/BookitWithTrent/status/2102453758869545142</t>
        </is>
      </c>
      <c r="AA331" t="inlineStr">
        <is>
          <t>"MLB Fugazi 5" (presented by Pikkit)</t>
        </is>
      </c>
      <c r="AB331" t="inlineStr">
        <is>
          <t>Parlay/multi-leg</t>
        </is>
      </c>
      <c r="AC331" s="5">
        <f>IF(ISNUMBER(V331),Q331,"")</f>
        <v/>
      </c>
      <c r="AD331">
        <f>IF(ISNUMBER(W331),R331,"")</f>
        <v/>
      </c>
    </row>
    <row r="332">
      <c r="A332" t="inlineStr">
        <is>
          <t>S-675005</t>
        </is>
      </c>
      <c r="B332" t="inlineStr">
        <is>
          <t>Steve</t>
        </is>
      </c>
      <c r="C332" s="2" t="n">
        <v>46287.56641203703</v>
      </c>
      <c r="D332">
        <f>IF(C332="","",TEXT(C332,"dddd"))</f>
        <v/>
      </c>
      <c r="E332" s="3" t="n">
        <v>46287</v>
      </c>
      <c r="F332">
        <f>IF(E332="","",TEXT(E332,"dddd"))</f>
        <v/>
      </c>
      <c r="G332" t="inlineStr">
        <is>
          <t>6:45 PM</t>
        </is>
      </c>
      <c r="H332" t="inlineStr">
        <is>
          <t>N</t>
        </is>
      </c>
      <c r="I332" t="inlineStr"/>
      <c r="J332" t="inlineStr">
        <is>
          <t>MLB</t>
        </is>
      </c>
      <c r="K332" t="inlineStr">
        <is>
          <t>MLB</t>
        </is>
      </c>
      <c r="L332" t="inlineStr">
        <is>
          <t>total</t>
        </is>
      </c>
      <c r="M332" t="inlineStr">
        <is>
          <t>Red Sox/Guardians Under 7</t>
        </is>
      </c>
      <c r="N332" t="n">
        <v>1</v>
      </c>
      <c r="O332" t="inlineStr">
        <is>
          <t>-145</t>
        </is>
      </c>
      <c r="P332" s="4" t="n">
        <v>1.6897</v>
      </c>
      <c r="Q332" s="5" t="n">
        <v>75000</v>
      </c>
      <c r="R332" t="inlineStr"/>
      <c r="S332" s="5" t="n">
        <v>126750</v>
      </c>
      <c r="T332" t="inlineStr">
        <is>
          <t>Gamdom</t>
        </is>
      </c>
      <c r="U332" t="inlineStr">
        <is>
          <t>W</t>
        </is>
      </c>
      <c r="V332" s="5">
        <f>IF(NOT(ISNUMBER(Q332)),"",IF(U332="W",IF(ISNUMBER(S332),S332-Q332,IF(ISNUMBER(P332),Q332*(P332-1),"")),IF(U332="L",-Q332,IF(U332="Push",0,""))))</f>
        <v/>
      </c>
      <c r="W332">
        <f>IF(NOT(ISNUMBER(R332)),"",IF(U332="W",IF(ISNUMBER(P332),R332*(P332-1),""),IF(U332="L",-R332,IF(U332="Push",0,""))))</f>
        <v/>
      </c>
      <c r="X332" t="inlineStr">
        <is>
          <t>graded from final</t>
        </is>
      </c>
      <c r="Y332" t="inlineStr">
        <is>
          <t>Y - tags Gamdom</t>
        </is>
      </c>
      <c r="Z332" t="inlineStr">
        <is>
          <t>https://x.com/stevewilldoit/status/2102466869072675005</t>
        </is>
      </c>
      <c r="AA332" t="inlineStr">
        <is>
          <t>AI guy pick</t>
        </is>
      </c>
      <c r="AB332" t="inlineStr">
        <is>
          <t>Single</t>
        </is>
      </c>
      <c r="AC332" s="5">
        <f>IF(ISNUMBER(V332),Q332,"")</f>
        <v/>
      </c>
      <c r="AD332">
        <f>IF(ISNUMBER(W332),R332,"")</f>
        <v/>
      </c>
    </row>
    <row r="333">
      <c r="A333" t="inlineStr">
        <is>
          <t>S-675005b</t>
        </is>
      </c>
      <c r="B333" t="inlineStr">
        <is>
          <t>Steve</t>
        </is>
      </c>
      <c r="C333" s="2" t="n">
        <v>46287.56641203703</v>
      </c>
      <c r="D333">
        <f>IF(C333="","",TEXT(C333,"dddd"))</f>
        <v/>
      </c>
      <c r="E333" s="3" t="n">
        <v>46287</v>
      </c>
      <c r="F333">
        <f>IF(E333="","",TEXT(E333,"dddd"))</f>
        <v/>
      </c>
      <c r="G333" t="inlineStr">
        <is>
          <t>6:40 PM</t>
        </is>
      </c>
      <c r="H333" t="inlineStr">
        <is>
          <t>N</t>
        </is>
      </c>
      <c r="I333" t="inlineStr"/>
      <c r="J333" t="inlineStr">
        <is>
          <t>MLB</t>
        </is>
      </c>
      <c r="K333" t="inlineStr">
        <is>
          <t>MLB</t>
        </is>
      </c>
      <c r="L333" t="inlineStr">
        <is>
          <t>spread</t>
        </is>
      </c>
      <c r="M333" t="inlineStr">
        <is>
          <t>Pittsburgh Pirates F5 handicap (0) vs St. Louis Cardinals</t>
        </is>
      </c>
      <c r="N333" t="n">
        <v>1</v>
      </c>
      <c r="O333" t="inlineStr">
        <is>
          <t>-200</t>
        </is>
      </c>
      <c r="P333" s="4" t="n">
        <v>1.5</v>
      </c>
      <c r="Q333" s="5" t="n">
        <v>75000</v>
      </c>
      <c r="R333" t="inlineStr"/>
      <c r="S333" s="5" t="n">
        <v>112500</v>
      </c>
      <c r="T333" t="inlineStr">
        <is>
          <t>Gamdom</t>
        </is>
      </c>
      <c r="U333" t="inlineStr">
        <is>
          <t>Push</t>
        </is>
      </c>
      <c r="V333" s="5">
        <f>IF(NOT(ISNUMBER(Q333)),"",IF(U333="W",IF(ISNUMBER(S333),S333-Q333,IF(ISNUMBER(P333),Q333*(P333-1),"")),IF(U333="L",-Q333,IF(U333="Push",0,""))))</f>
        <v/>
      </c>
      <c r="W333">
        <f>IF(NOT(ISNUMBER(R333)),"",IF(U333="W",IF(ISNUMBER(P333),R333*(P333-1),""),IF(U333="L",-R333,IF(U333="Push",0,""))))</f>
        <v/>
      </c>
      <c r="X333" t="inlineStr">
        <is>
          <t>graded from final</t>
        </is>
      </c>
      <c r="Y333" t="inlineStr">
        <is>
          <t>Y - tags Gamdom</t>
        </is>
      </c>
      <c r="Z333" t="inlineStr">
        <is>
          <t>https://x.com/stevewilldoit/status/2102466869072675005</t>
        </is>
      </c>
      <c r="AA333" t="inlineStr">
        <is>
          <t>AI guy pick</t>
        </is>
      </c>
      <c r="AB333" t="inlineStr">
        <is>
          <t>Single</t>
        </is>
      </c>
      <c r="AC333" s="5">
        <f>IF(ISNUMBER(V333),Q333,"")</f>
        <v/>
      </c>
      <c r="AD333">
        <f>IF(ISNUMBER(W333),R333,"")</f>
        <v/>
      </c>
    </row>
    <row r="334">
      <c r="A334" t="inlineStr">
        <is>
          <t>S-883974</t>
        </is>
      </c>
      <c r="B334" t="inlineStr">
        <is>
          <t>Steve</t>
        </is>
      </c>
      <c r="C334" s="2" t="n">
        <v>46287.64458333333</v>
      </c>
      <c r="D334">
        <f>IF(C334="","",TEXT(C334,"dddd"))</f>
        <v/>
      </c>
      <c r="E334" s="3" t="n">
        <v>46287</v>
      </c>
      <c r="F334">
        <f>IF(E334="","",TEXT(E334,"dddd"))</f>
        <v/>
      </c>
      <c r="G334" t="inlineStr">
        <is>
          <t>9:45 PM</t>
        </is>
      </c>
      <c r="H334" t="inlineStr">
        <is>
          <t>N</t>
        </is>
      </c>
      <c r="I334" t="inlineStr"/>
      <c r="J334" t="inlineStr">
        <is>
          <t>MLB</t>
        </is>
      </c>
      <c r="K334" t="inlineStr">
        <is>
          <t>MLB</t>
        </is>
      </c>
      <c r="L334" t="inlineStr">
        <is>
          <t>ML</t>
        </is>
      </c>
      <c r="M334" t="inlineStr">
        <is>
          <t>Minnesota Twins ML vs SF Giants</t>
        </is>
      </c>
      <c r="N334" t="n">
        <v>1</v>
      </c>
      <c r="O334" t="inlineStr">
        <is>
          <t>-139</t>
        </is>
      </c>
      <c r="P334" s="4" t="n">
        <v>1.7194</v>
      </c>
      <c r="Q334" s="5" t="n">
        <v>100000</v>
      </c>
      <c r="R334" t="inlineStr"/>
      <c r="S334" s="5" t="n">
        <v>172000</v>
      </c>
      <c r="T334" t="inlineStr">
        <is>
          <t>Gamdom</t>
        </is>
      </c>
      <c r="U334" t="inlineStr">
        <is>
          <t>W</t>
        </is>
      </c>
      <c r="V334" s="5">
        <f>IF(NOT(ISNUMBER(Q334)),"",IF(U334="W",IF(ISNUMBER(S334),S334-Q334,IF(ISNUMBER(P334),Q334*(P334-1),"")),IF(U334="L",-Q334,IF(U334="Push",0,""))))</f>
        <v/>
      </c>
      <c r="W334">
        <f>IF(NOT(ISNUMBER(R334)),"",IF(U334="W",IF(ISNUMBER(P334),R334*(P334-1),""),IF(U334="L",-R334,IF(U334="Push",0,""))))</f>
        <v/>
      </c>
      <c r="X334" t="inlineStr">
        <is>
          <t>graded from final</t>
        </is>
      </c>
      <c r="Y334" t="inlineStr">
        <is>
          <t>Y - tags Gamdom</t>
        </is>
      </c>
      <c r="Z334" t="inlineStr">
        <is>
          <t>https://x.com/stevewilldoit/status/2102495198722883974</t>
        </is>
      </c>
      <c r="AA334" t="inlineStr">
        <is>
          <t>AI guy pick</t>
        </is>
      </c>
      <c r="AB334" t="inlineStr">
        <is>
          <t>Single</t>
        </is>
      </c>
      <c r="AC334" s="5">
        <f>IF(ISNUMBER(V334),Q334,"")</f>
        <v/>
      </c>
      <c r="AD334">
        <f>IF(ISNUMBER(W334),R334,"")</f>
        <v/>
      </c>
    </row>
    <row r="335">
      <c r="A335" t="inlineStr">
        <is>
          <t>T-432588</t>
        </is>
      </c>
      <c r="B335" t="inlineStr">
        <is>
          <t>Trent</t>
        </is>
      </c>
      <c r="C335" s="2" t="n">
        <v>46287.68085648148</v>
      </c>
      <c r="D335">
        <f>IF(C335="","",TEXT(C335,"dddd"))</f>
        <v/>
      </c>
      <c r="E335" s="3" t="n">
        <v>46287</v>
      </c>
      <c r="F335">
        <f>IF(E335="","",TEXT(E335,"dddd"))</f>
        <v/>
      </c>
      <c r="G335" t="inlineStr">
        <is>
          <t>10:10 PM</t>
        </is>
      </c>
      <c r="H335" t="inlineStr">
        <is>
          <t>N</t>
        </is>
      </c>
      <c r="I335" t="inlineStr"/>
      <c r="J335" t="inlineStr">
        <is>
          <t>MLB</t>
        </is>
      </c>
      <c r="K335" t="inlineStr">
        <is>
          <t>MLB</t>
        </is>
      </c>
      <c r="L335" t="inlineStr">
        <is>
          <t>PrizePicks/DFS</t>
        </is>
      </c>
      <c r="M335" t="inlineStr">
        <is>
          <t>Braves win vs Reds; Cubs win vs Marlins; White Sox win vs Royals; Diamondbacks win vs Rockies; Dodgers win vs Padres</t>
        </is>
      </c>
      <c r="N335" t="n">
        <v>5</v>
      </c>
      <c r="O335" t="inlineStr">
        <is>
          <t>+852</t>
        </is>
      </c>
      <c r="P335" s="4" t="n">
        <v>9.52</v>
      </c>
      <c r="Q335" s="5" t="n">
        <v>1050</v>
      </c>
      <c r="R335" t="inlineStr"/>
      <c r="S335" s="5" t="n">
        <v>10000</v>
      </c>
      <c r="T335" t="inlineStr">
        <is>
          <t>PrizePicks</t>
        </is>
      </c>
      <c r="U335" t="inlineStr">
        <is>
          <t>L</t>
        </is>
      </c>
      <c r="V335" s="5">
        <f>IF(NOT(ISNUMBER(Q335)),"",IF(U335="W",IF(ISNUMBER(S335),S335-Q335,IF(ISNUMBER(P335),Q335*(P335-1),"")),IF(U335="L",-Q335,IF(U335="Push",0,""))))</f>
        <v/>
      </c>
      <c r="W335">
        <f>IF(NOT(ISNUMBER(R335)),"",IF(U335="W",IF(ISNUMBER(P335),R335*(P335-1),""),IF(U335="L",-R335,IF(U335="Push",0,""))))</f>
        <v/>
      </c>
      <c r="X335" t="inlineStr">
        <is>
          <t>graded from final</t>
        </is>
      </c>
      <c r="Y335" t="inlineStr">
        <is>
          <t>N</t>
        </is>
      </c>
      <c r="Z335" t="inlineStr">
        <is>
          <t>https://x.com/BookitWithTrent/status/2102508341742432588</t>
        </is>
      </c>
      <c r="AA335" t="inlineStr">
        <is>
          <t>"Let's have a night."</t>
        </is>
      </c>
      <c r="AB335" t="inlineStr">
        <is>
          <t>Parlay/multi-leg</t>
        </is>
      </c>
      <c r="AC335" s="5">
        <f>IF(ISNUMBER(V335),Q335,"")</f>
        <v/>
      </c>
      <c r="AD335">
        <f>IF(ISNUMBER(W335),R335,"")</f>
        <v/>
      </c>
    </row>
    <row r="336">
      <c r="A336" t="inlineStr">
        <is>
          <t>S-186625</t>
        </is>
      </c>
      <c r="B336" t="inlineStr">
        <is>
          <t>Steve</t>
        </is>
      </c>
      <c r="C336" s="2" t="n">
        <v>46287.89400462963</v>
      </c>
      <c r="D336">
        <f>IF(C336="","",TEXT(C336,"dddd"))</f>
        <v/>
      </c>
      <c r="E336" s="3" t="n">
        <v>46287</v>
      </c>
      <c r="F336">
        <f>IF(E336="","",TEXT(E336,"dddd"))</f>
        <v/>
      </c>
      <c r="G336" t="inlineStr">
        <is>
          <t>9:45 PM</t>
        </is>
      </c>
      <c r="H336" t="inlineStr">
        <is>
          <t>N</t>
        </is>
      </c>
      <c r="I336" t="inlineStr"/>
      <c r="J336" t="inlineStr">
        <is>
          <t>MLB</t>
        </is>
      </c>
      <c r="K336" t="inlineStr">
        <is>
          <t>MLB</t>
        </is>
      </c>
      <c r="L336" t="inlineStr">
        <is>
          <t>ML</t>
        </is>
      </c>
      <c r="M336" t="inlineStr">
        <is>
          <t>Minnesota Twins ML vs SF Giants (live)</t>
        </is>
      </c>
      <c r="N336" t="n">
        <v>1</v>
      </c>
      <c r="O336" t="inlineStr">
        <is>
          <t>+133</t>
        </is>
      </c>
      <c r="P336" s="4" t="n">
        <v>2.33</v>
      </c>
      <c r="Q336" s="5" t="n">
        <v>75000</v>
      </c>
      <c r="R336" t="inlineStr"/>
      <c r="S336" s="5" t="n">
        <v>174750</v>
      </c>
      <c r="T336" t="inlineStr">
        <is>
          <t>Gamdom</t>
        </is>
      </c>
      <c r="U336" t="inlineStr">
        <is>
          <t>W</t>
        </is>
      </c>
      <c r="V336" s="5">
        <f>IF(NOT(ISNUMBER(Q336)),"",IF(U336="W",IF(ISNUMBER(S336),S336-Q336,IF(ISNUMBER(P336),Q336*(P336-1),"")),IF(U336="L",-Q336,IF(U336="Push",0,""))))</f>
        <v/>
      </c>
      <c r="W336">
        <f>IF(NOT(ISNUMBER(R336)),"",IF(U336="W",IF(ISNUMBER(P336),R336*(P336-1),""),IF(U336="L",-R336,IF(U336="Push",0,""))))</f>
        <v/>
      </c>
      <c r="X336" t="inlineStr">
        <is>
          <t>graded from final</t>
        </is>
      </c>
      <c r="Y336" t="inlineStr">
        <is>
          <t>Y - tags Gamdom</t>
        </is>
      </c>
      <c r="Z336" t="inlineStr">
        <is>
          <t>https://x.com/stevewilldoit/status/2102585584892186625</t>
        </is>
      </c>
      <c r="AA336" t="inlineStr">
        <is>
          <t>Live bet while down</t>
        </is>
      </c>
      <c r="AB336" t="inlineStr">
        <is>
          <t>Single</t>
        </is>
      </c>
      <c r="AC336" s="5">
        <f>IF(ISNUMBER(V336),Q336,"")</f>
        <v/>
      </c>
      <c r="AD336">
        <f>IF(ISNUMBER(W336),R336,"")</f>
        <v/>
      </c>
    </row>
    <row r="337">
      <c r="A337" t="inlineStr">
        <is>
          <t>S-610979</t>
        </is>
      </c>
      <c r="B337" t="inlineStr">
        <is>
          <t>Steve</t>
        </is>
      </c>
      <c r="C337" s="2" t="n">
        <v>46287.89684027778</v>
      </c>
      <c r="D337">
        <f>IF(C337="","",TEXT(C337,"dddd"))</f>
        <v/>
      </c>
      <c r="E337" s="3" t="n">
        <v>46287</v>
      </c>
      <c r="F337">
        <f>IF(E337="","",TEXT(E337,"dddd"))</f>
        <v/>
      </c>
      <c r="G337" t="inlineStr">
        <is>
          <t>10:10 PM</t>
        </is>
      </c>
      <c r="H337" t="inlineStr">
        <is>
          <t>N</t>
        </is>
      </c>
      <c r="I337" t="inlineStr"/>
      <c r="J337" t="inlineStr">
        <is>
          <t>MLB</t>
        </is>
      </c>
      <c r="K337" t="inlineStr">
        <is>
          <t>MLB</t>
        </is>
      </c>
      <c r="L337" t="inlineStr">
        <is>
          <t>parlay</t>
        </is>
      </c>
      <c r="M337" t="inlineStr">
        <is>
          <t>Chicago Cubs ML vs Marlins; LA Dodgers ML vs Padres</t>
        </is>
      </c>
      <c r="N337" t="n">
        <v>2</v>
      </c>
      <c r="O337" t="inlineStr">
        <is>
          <t>+182</t>
        </is>
      </c>
      <c r="P337" s="4" t="n">
        <v>2.82</v>
      </c>
      <c r="Q337" s="5" t="n">
        <v>75000</v>
      </c>
      <c r="R337" t="inlineStr"/>
      <c r="S337" s="5" t="n">
        <v>211500</v>
      </c>
      <c r="T337" t="inlineStr">
        <is>
          <t>Gamdom</t>
        </is>
      </c>
      <c r="U337" t="inlineStr">
        <is>
          <t>L</t>
        </is>
      </c>
      <c r="V337" s="5">
        <f>IF(NOT(ISNUMBER(Q337)),"",IF(U337="W",IF(ISNUMBER(S337),S337-Q337,IF(ISNUMBER(P337),Q337*(P337-1),"")),IF(U337="L",-Q337,IF(U337="Push",0,""))))</f>
        <v/>
      </c>
      <c r="W337">
        <f>IF(NOT(ISNUMBER(R337)),"",IF(U337="W",IF(ISNUMBER(P337),R337*(P337-1),""),IF(U337="L",-R337,IF(U337="Push",0,""))))</f>
        <v/>
      </c>
      <c r="X337" t="inlineStr">
        <is>
          <t>graded from final</t>
        </is>
      </c>
      <c r="Y337" t="inlineStr">
        <is>
          <t>Y - tags Gamdom</t>
        </is>
      </c>
      <c r="Z337" t="inlineStr">
        <is>
          <t>https://x.com/stevewilldoit/status/2102586614207610979</t>
        </is>
      </c>
      <c r="AA337" t="inlineStr">
        <is>
          <t>"Tekashi 69 picks"</t>
        </is>
      </c>
      <c r="AB337" t="inlineStr">
        <is>
          <t>Parlay/multi-leg</t>
        </is>
      </c>
      <c r="AC337" s="5">
        <f>IF(ISNUMBER(V337),Q337,"")</f>
        <v/>
      </c>
      <c r="AD337">
        <f>IF(ISNUMBER(W337),R337,"")</f>
        <v/>
      </c>
    </row>
    <row r="338">
      <c r="A338" t="inlineStr">
        <is>
          <t>T-572855</t>
        </is>
      </c>
      <c r="B338" t="inlineStr">
        <is>
          <t>Trent</t>
        </is>
      </c>
      <c r="C338" s="2" t="n">
        <v>46287.99832175926</v>
      </c>
      <c r="D338">
        <f>IF(C338="","",TEXT(C338,"dddd"))</f>
        <v/>
      </c>
      <c r="E338" s="3" t="n">
        <v>46287</v>
      </c>
      <c r="F338">
        <f>IF(E338="","",TEXT(E338,"dddd"))</f>
        <v/>
      </c>
      <c r="G338" t="inlineStr">
        <is>
          <t>not matched</t>
        </is>
      </c>
      <c r="H338" t="inlineStr">
        <is>
          <t>N</t>
        </is>
      </c>
      <c r="I338" t="inlineStr"/>
      <c r="J338" t="inlineStr">
        <is>
          <t>MLB</t>
        </is>
      </c>
      <c r="K338" t="inlineStr">
        <is>
          <t>MLB</t>
        </is>
      </c>
      <c r="L338" t="inlineStr">
        <is>
          <t>PrizePicks/DFS</t>
        </is>
      </c>
      <c r="M338" t="inlineStr">
        <is>
          <t>H+R+RBI o2.5 (demon): Hunter Goodman; Nolan Arenado; Zach Neto; Zack Gelof; Yordan Alvarez</t>
        </is>
      </c>
      <c r="N338" t="n">
        <v>5</v>
      </c>
      <c r="O338" t="inlineStr">
        <is>
          <t>+4850</t>
        </is>
      </c>
      <c r="P338" s="4" t="n">
        <v>49.5</v>
      </c>
      <c r="Q338" s="5" t="n">
        <v>500</v>
      </c>
      <c r="R338" t="inlineStr"/>
      <c r="S338" s="5" t="n">
        <v>24750</v>
      </c>
      <c r="T338" t="inlineStr">
        <is>
          <t>PrizePicks</t>
        </is>
      </c>
      <c r="U338" t="inlineStr">
        <is>
          <t>L</t>
        </is>
      </c>
      <c r="V338" s="5">
        <f>IF(NOT(ISNUMBER(Q338)),"",IF(U338="W",IF(ISNUMBER(S338),S338-Q338,IF(ISNUMBER(P338),Q338*(P338-1),"")),IF(U338="L",-Q338,IF(U338="Push",0,""))))</f>
        <v/>
      </c>
      <c r="W338">
        <f>IF(NOT(ISNUMBER(R338)),"",IF(U338="W",IF(ISNUMBER(P338),R338*(P338-1),""),IF(U338="L",-R338,IF(U338="Push",0,""))))</f>
        <v/>
      </c>
      <c r="X338" t="inlineStr">
        <is>
          <t>posted</t>
        </is>
      </c>
      <c r="Y338" t="inlineStr">
        <is>
          <t>N</t>
        </is>
      </c>
      <c r="Z338" t="inlineStr">
        <is>
          <t>https://x.com/BookitWithTrent/status/2102623388816572855</t>
        </is>
      </c>
      <c r="AA338" t="inlineStr">
        <is>
          <t>Goodman finished 0 ("Fucking Saul Goodman")</t>
        </is>
      </c>
      <c r="AB338" t="inlineStr">
        <is>
          <t>Parlay/multi-leg</t>
        </is>
      </c>
      <c r="AC338" s="5">
        <f>IF(ISNUMBER(V338),Q338,"")</f>
        <v/>
      </c>
      <c r="AD338">
        <f>IF(ISNUMBER(W338),R338,"")</f>
        <v/>
      </c>
    </row>
    <row r="339">
      <c r="A339" t="inlineStr">
        <is>
          <t>T-973957</t>
        </is>
      </c>
      <c r="B339" t="inlineStr">
        <is>
          <t>Trent</t>
        </is>
      </c>
      <c r="C339" s="2" t="n">
        <v>46288.02368055555</v>
      </c>
      <c r="D339">
        <f>IF(C339="","",TEXT(C339,"dddd"))</f>
        <v/>
      </c>
      <c r="E339" s="3" t="n">
        <v>46288</v>
      </c>
      <c r="F339">
        <f>IF(E339="","",TEXT(E339,"dddd"))</f>
        <v/>
      </c>
      <c r="G339" t="inlineStr">
        <is>
          <t>not matched</t>
        </is>
      </c>
      <c r="H339" t="inlineStr">
        <is>
          <t>N</t>
        </is>
      </c>
      <c r="I339" t="inlineStr"/>
      <c r="J339" t="inlineStr">
        <is>
          <t>Other</t>
        </is>
      </c>
      <c r="K339" t="inlineStr">
        <is>
          <t>NPB/KBO baseball + tennis</t>
        </is>
      </c>
      <c r="L339" t="inlineStr">
        <is>
          <t>parlay</t>
        </is>
      </c>
      <c r="M339" t="inlineStr">
        <is>
          <t>Yomiuri Giants win; Yokohama DeNA BayStars win; Lotte Giants win; Kia Tigers win; Federico Cina win (tennis) (slip may be cropped)</t>
        </is>
      </c>
      <c r="N339" t="n">
        <v>5</v>
      </c>
      <c r="O339" t="inlineStr">
        <is>
          <t>not shown</t>
        </is>
      </c>
      <c r="P339" s="4" t="inlineStr"/>
      <c r="Q339" s="5" t="inlineStr"/>
      <c r="R339" t="inlineStr"/>
      <c r="S339" s="5" t="inlineStr">
        <is>
          <t>not shown</t>
        </is>
      </c>
      <c r="T339" t="inlineStr">
        <is>
          <t>not shown</t>
        </is>
      </c>
      <c r="U339" t="inlineStr">
        <is>
          <t>L</t>
        </is>
      </c>
      <c r="V339" s="5">
        <f>IF(NOT(ISNUMBER(Q339)),"",IF(U339="W",IF(ISNUMBER(S339),S339-Q339,IF(ISNUMBER(P339),Q339*(P339-1),"")),IF(U339="L",-Q339,IF(U339="Push",0,""))))</f>
        <v/>
      </c>
      <c r="W339">
        <f>IF(NOT(ISNUMBER(R339)),"",IF(U339="W",IF(ISNUMBER(P339),R339*(P339-1),""),IF(U339="L",-R339,IF(U339="Push",0,""))))</f>
        <v/>
      </c>
      <c r="X339" t="inlineStr">
        <is>
          <t>posted</t>
        </is>
      </c>
      <c r="Y339" t="inlineStr">
        <is>
          <t>N</t>
        </is>
      </c>
      <c r="Z339" t="inlineStr">
        <is>
          <t>https://x.com/BookitWithTrent/status/2102632578171973957</t>
        </is>
      </c>
      <c r="AA339" t="inlineStr">
        <is>
          <t>"wake and cash"; "it was never the wake and cash"</t>
        </is>
      </c>
      <c r="AB339" t="inlineStr">
        <is>
          <t>Parlay/multi-leg</t>
        </is>
      </c>
      <c r="AC339" s="5">
        <f>IF(ISNUMBER(V339),Q339,"")</f>
        <v/>
      </c>
      <c r="AD339">
        <f>IF(ISNUMBER(W339),R339,"")</f>
        <v/>
      </c>
    </row>
    <row r="340">
      <c r="A340" t="inlineStr">
        <is>
          <t>S-869404</t>
        </is>
      </c>
      <c r="B340" t="inlineStr">
        <is>
          <t>Steve</t>
        </is>
      </c>
      <c r="C340" s="2" t="n">
        <v>46288.49152777778</v>
      </c>
      <c r="D340">
        <f>IF(C340="","",TEXT(C340,"dddd"))</f>
        <v/>
      </c>
      <c r="E340" s="3" t="n">
        <v>46288</v>
      </c>
      <c r="F340">
        <f>IF(E340="","",TEXT(E340,"dddd"))</f>
        <v/>
      </c>
      <c r="G340" t="inlineStr">
        <is>
          <t>6:40 PM</t>
        </is>
      </c>
      <c r="H340" t="inlineStr">
        <is>
          <t>N</t>
        </is>
      </c>
      <c r="I340" t="inlineStr"/>
      <c r="J340" t="inlineStr">
        <is>
          <t>MLB</t>
        </is>
      </c>
      <c r="K340" t="inlineStr">
        <is>
          <t>MLB</t>
        </is>
      </c>
      <c r="L340" t="inlineStr">
        <is>
          <t>ML</t>
        </is>
      </c>
      <c r="M340" t="inlineStr">
        <is>
          <t>Milwaukee Brewers ML vs Philadelphia Phillies</t>
        </is>
      </c>
      <c r="N340" t="n">
        <v>1</v>
      </c>
      <c r="O340" t="inlineStr">
        <is>
          <t>-132</t>
        </is>
      </c>
      <c r="P340" s="4" t="n">
        <v>1.7576</v>
      </c>
      <c r="Q340" s="5" t="n">
        <v>100000</v>
      </c>
      <c r="R340" t="inlineStr"/>
      <c r="S340" s="5" t="n">
        <v>176000</v>
      </c>
      <c r="T340" t="inlineStr">
        <is>
          <t>Gamdom</t>
        </is>
      </c>
      <c r="U340" t="inlineStr">
        <is>
          <t>W</t>
        </is>
      </c>
      <c r="V340" s="5">
        <f>IF(NOT(ISNUMBER(Q340)),"",IF(U340="W",IF(ISNUMBER(S340),S340-Q340,IF(ISNUMBER(P340),Q340*(P340-1),"")),IF(U340="L",-Q340,IF(U340="Push",0,""))))</f>
        <v/>
      </c>
      <c r="W340">
        <f>IF(NOT(ISNUMBER(R340)),"",IF(U340="W",IF(ISNUMBER(P340),R340*(P340-1),""),IF(U340="L",-R340,IF(U340="Push",0,""))))</f>
        <v/>
      </c>
      <c r="X340" t="inlineStr">
        <is>
          <t>graded from final</t>
        </is>
      </c>
      <c r="Y340" t="inlineStr">
        <is>
          <t>Y - tags Gamdom</t>
        </is>
      </c>
      <c r="Z340" t="inlineStr">
        <is>
          <t>https://x.com/stevewilldoit/status/2102802120902869404</t>
        </is>
      </c>
      <c r="AA340" t="inlineStr">
        <is>
          <t>AI guy pick</t>
        </is>
      </c>
      <c r="AB340" t="inlineStr">
        <is>
          <t>Single</t>
        </is>
      </c>
      <c r="AC340" s="5">
        <f>IF(ISNUMBER(V340),Q340,"")</f>
        <v/>
      </c>
      <c r="AD340">
        <f>IF(ISNUMBER(W340),R340,"")</f>
        <v/>
      </c>
    </row>
    <row r="341">
      <c r="A341" t="inlineStr">
        <is>
          <t>S-869404b</t>
        </is>
      </c>
      <c r="B341" t="inlineStr">
        <is>
          <t>Steve</t>
        </is>
      </c>
      <c r="C341" s="2" t="n">
        <v>46288.49152777778</v>
      </c>
      <c r="D341">
        <f>IF(C341="","",TEXT(C341,"dddd"))</f>
        <v/>
      </c>
      <c r="E341" s="3" t="n">
        <v>46288</v>
      </c>
      <c r="F341">
        <f>IF(E341="","",TEXT(E341,"dddd"))</f>
        <v/>
      </c>
      <c r="G341" t="inlineStr">
        <is>
          <t>10:10 PM</t>
        </is>
      </c>
      <c r="H341" t="inlineStr">
        <is>
          <t>N</t>
        </is>
      </c>
      <c r="I341" t="inlineStr"/>
      <c r="J341" t="inlineStr">
        <is>
          <t>MLB</t>
        </is>
      </c>
      <c r="K341" t="inlineStr">
        <is>
          <t>MLB</t>
        </is>
      </c>
      <c r="L341" t="inlineStr">
        <is>
          <t>parlay</t>
        </is>
      </c>
      <c r="M341" t="inlineStr">
        <is>
          <t>Brewers ML vs Phillies; Dodgers ML vs Padres; Pirates ML vs Cardinals; Angels ML vs Athletics</t>
        </is>
      </c>
      <c r="N341" t="n">
        <v>4</v>
      </c>
      <c r="O341" t="inlineStr">
        <is>
          <t>+650</t>
        </is>
      </c>
      <c r="P341" s="4" t="n">
        <v>7.5</v>
      </c>
      <c r="Q341" s="5" t="n">
        <v>30000</v>
      </c>
      <c r="R341" t="inlineStr"/>
      <c r="S341" s="5" t="n">
        <v>225000</v>
      </c>
      <c r="T341" t="inlineStr">
        <is>
          <t>Gamdom</t>
        </is>
      </c>
      <c r="U341" t="inlineStr">
        <is>
          <t>L</t>
        </is>
      </c>
      <c r="V341" s="5">
        <f>IF(NOT(ISNUMBER(Q341)),"",IF(U341="W",IF(ISNUMBER(S341),S341-Q341,IF(ISNUMBER(P341),Q341*(P341-1),"")),IF(U341="L",-Q341,IF(U341="Push",0,""))))</f>
        <v/>
      </c>
      <c r="W341">
        <f>IF(NOT(ISNUMBER(R341)),"",IF(U341="W",IF(ISNUMBER(P341),R341*(P341-1),""),IF(U341="L",-R341,IF(U341="Push",0,""))))</f>
        <v/>
      </c>
      <c r="X341" t="inlineStr">
        <is>
          <t>graded from final</t>
        </is>
      </c>
      <c r="Y341" t="inlineStr">
        <is>
          <t>Y - tags Gamdom</t>
        </is>
      </c>
      <c r="Z341" t="inlineStr">
        <is>
          <t>https://x.com/stevewilldoit/status/2102802120902869404</t>
        </is>
      </c>
      <c r="AA341" t="inlineStr">
        <is>
          <t>AI guy "small parlay"</t>
        </is>
      </c>
      <c r="AB341" t="inlineStr">
        <is>
          <t>Parlay/multi-leg</t>
        </is>
      </c>
      <c r="AC341" s="5">
        <f>IF(ISNUMBER(V341),Q341,"")</f>
        <v/>
      </c>
      <c r="AD341">
        <f>IF(ISNUMBER(W341),R341,"")</f>
        <v/>
      </c>
    </row>
    <row r="342">
      <c r="A342" t="inlineStr">
        <is>
          <t>T-122772</t>
        </is>
      </c>
      <c r="B342" t="inlineStr">
        <is>
          <t>Trent</t>
        </is>
      </c>
      <c r="C342" s="2" t="n">
        <v>46288.63017361111</v>
      </c>
      <c r="D342">
        <f>IF(C342="","",TEXT(C342,"dddd"))</f>
        <v/>
      </c>
      <c r="E342" s="3" t="n">
        <v>46288</v>
      </c>
      <c r="F342">
        <f>IF(E342="","",TEXT(E342,"dddd"))</f>
        <v/>
      </c>
      <c r="G342" t="inlineStr">
        <is>
          <t>not matched</t>
        </is>
      </c>
      <c r="H342" t="inlineStr">
        <is>
          <t>N</t>
        </is>
      </c>
      <c r="I342" t="inlineStr"/>
      <c r="J342" t="inlineStr">
        <is>
          <t>MLB</t>
        </is>
      </c>
      <c r="K342" t="inlineStr">
        <is>
          <t>MLB</t>
        </is>
      </c>
      <c r="L342" t="inlineStr">
        <is>
          <t>parlay</t>
        </is>
      </c>
      <c r="M342" t="inlineStr">
        <is>
          <t>Dodgers ML; Cubs ML; Braves ML; Astros ML; Yankees ML</t>
        </is>
      </c>
      <c r="N342" t="n">
        <v>5</v>
      </c>
      <c r="O342" t="inlineStr">
        <is>
          <t>+1000</t>
        </is>
      </c>
      <c r="P342" s="4" t="n">
        <v>11</v>
      </c>
      <c r="Q342" s="5" t="n">
        <v>1000</v>
      </c>
      <c r="R342" t="inlineStr"/>
      <c r="S342" s="5" t="n">
        <v>11000</v>
      </c>
      <c r="T342" t="inlineStr">
        <is>
          <t>Pikkit</t>
        </is>
      </c>
      <c r="U342" t="inlineStr">
        <is>
          <t>L</t>
        </is>
      </c>
      <c r="V342" s="5">
        <f>IF(NOT(ISNUMBER(Q342)),"",IF(U342="W",IF(ISNUMBER(S342),S342-Q342,IF(ISNUMBER(P342),Q342*(P342-1),"")),IF(U342="L",-Q342,IF(U342="Push",0,""))))</f>
        <v/>
      </c>
      <c r="W342">
        <f>IF(NOT(ISNUMBER(R342)),"",IF(U342="W",IF(ISNUMBER(P342),R342*(P342-1),""),IF(U342="L",-R342,IF(U342="Push",0,""))))</f>
        <v/>
      </c>
      <c r="X342" t="inlineStr">
        <is>
          <t>posted</t>
        </is>
      </c>
      <c r="Y342" t="inlineStr">
        <is>
          <t>N</t>
        </is>
      </c>
      <c r="Z342" t="inlineStr">
        <is>
          <t>https://x.com/BookitWithTrent/status/2102852365611122772</t>
        </is>
      </c>
      <c r="AA342" t="inlineStr">
        <is>
          <t>"Fugazi Five" (presented by Pikkit); "Braves ❌"</t>
        </is>
      </c>
      <c r="AB342" t="inlineStr">
        <is>
          <t>Parlay/multi-leg</t>
        </is>
      </c>
      <c r="AC342" s="5">
        <f>IF(ISNUMBER(V342),Q342,"")</f>
        <v/>
      </c>
      <c r="AD342">
        <f>IF(ISNUMBER(W342),R342,"")</f>
        <v/>
      </c>
    </row>
    <row r="343">
      <c r="A343" t="inlineStr">
        <is>
          <t>T-241893</t>
        </is>
      </c>
      <c r="B343" t="inlineStr">
        <is>
          <t>Trent</t>
        </is>
      </c>
      <c r="C343" s="2" t="n">
        <v>46288.64634259259</v>
      </c>
      <c r="D343">
        <f>IF(C343="","",TEXT(C343,"dddd"))</f>
        <v/>
      </c>
      <c r="E343" s="3" t="n">
        <v>46288</v>
      </c>
      <c r="F343">
        <f>IF(E343="","",TEXT(E343,"dddd"))</f>
        <v/>
      </c>
      <c r="G343" t="inlineStr">
        <is>
          <t>not matched</t>
        </is>
      </c>
      <c r="H343" t="inlineStr">
        <is>
          <t>N</t>
        </is>
      </c>
      <c r="I343" t="inlineStr"/>
      <c r="J343" t="inlineStr">
        <is>
          <t>MLB</t>
        </is>
      </c>
      <c r="K343" t="inlineStr">
        <is>
          <t>MLB</t>
        </is>
      </c>
      <c r="L343" t="inlineStr">
        <is>
          <t>PrizePicks/DFS</t>
        </is>
      </c>
      <c r="M343" t="inlineStr">
        <is>
          <t>Kevin Gausman o35.5 pitcher FS; Corbin Carroll o9.5 hitter FS; Yoshinobu Yamamoto o37.5 pitcher FS; Yordan Alvarez o6.5 hitter FS</t>
        </is>
      </c>
      <c r="N343" t="n">
        <v>4</v>
      </c>
      <c r="O343" t="inlineStr">
        <is>
          <t>+900</t>
        </is>
      </c>
      <c r="P343" s="4" t="n">
        <v>10</v>
      </c>
      <c r="Q343" s="5" t="n">
        <v>1000</v>
      </c>
      <c r="R343" t="inlineStr"/>
      <c r="S343" s="5" t="n">
        <v>10000</v>
      </c>
      <c r="T343" t="inlineStr">
        <is>
          <t>PrizePicks</t>
        </is>
      </c>
      <c r="U343" t="inlineStr">
        <is>
          <t>L</t>
        </is>
      </c>
      <c r="V343" s="5">
        <f>IF(NOT(ISNUMBER(Q343)),"",IF(U343="W",IF(ISNUMBER(S343),S343-Q343,IF(ISNUMBER(P343),Q343*(P343-1),"")),IF(U343="L",-Q343,IF(U343="Push",0,""))))</f>
        <v/>
      </c>
      <c r="W343">
        <f>IF(NOT(ISNUMBER(R343)),"",IF(U343="W",IF(ISNUMBER(P343),R343*(P343-1),""),IF(U343="L",-R343,IF(U343="Push",0,""))))</f>
        <v/>
      </c>
      <c r="X343" t="inlineStr">
        <is>
          <t>graded from final</t>
        </is>
      </c>
      <c r="Y343" t="inlineStr">
        <is>
          <t>N</t>
        </is>
      </c>
      <c r="Z343" t="inlineStr">
        <is>
          <t>https://x.com/BookitWithTrent/status/2102858225280241893</t>
        </is>
      </c>
      <c r="AA343" t="inlineStr">
        <is>
          <t>"MLB 4 Man Nukenheimer"; Final: Yamamoto ~28 PFS</t>
        </is>
      </c>
      <c r="AB343" t="inlineStr">
        <is>
          <t>Parlay/multi-leg</t>
        </is>
      </c>
      <c r="AC343" s="5">
        <f>IF(ISNUMBER(V343),Q343,"")</f>
        <v/>
      </c>
      <c r="AD343">
        <f>IF(ISNUMBER(W343),R343,"")</f>
        <v/>
      </c>
    </row>
    <row r="344">
      <c r="A344" t="inlineStr">
        <is>
          <t>T-386486</t>
        </is>
      </c>
      <c r="B344" t="inlineStr">
        <is>
          <t>Trent</t>
        </is>
      </c>
      <c r="C344" s="2" t="n">
        <v>46288.67032407408</v>
      </c>
      <c r="D344">
        <f>IF(C344="","",TEXT(C344,"dddd"))</f>
        <v/>
      </c>
      <c r="E344" s="3" t="n">
        <v>46288</v>
      </c>
      <c r="F344">
        <f>IF(E344="","",TEXT(E344,"dddd"))</f>
        <v/>
      </c>
      <c r="G344" t="inlineStr">
        <is>
          <t>not matched</t>
        </is>
      </c>
      <c r="H344" t="inlineStr">
        <is>
          <t>N</t>
        </is>
      </c>
      <c r="I344" t="inlineStr"/>
      <c r="J344" t="inlineStr">
        <is>
          <t>MLB</t>
        </is>
      </c>
      <c r="K344" t="inlineStr">
        <is>
          <t>MLB</t>
        </is>
      </c>
      <c r="L344" t="inlineStr">
        <is>
          <t>PrizePicks/DFS</t>
        </is>
      </c>
      <c r="M344" t="inlineStr">
        <is>
          <t>H+R+RBI o2.5 (demon): Corbin Carroll; Hunter Goodman; Mickey Moniak; Zach Neto; Mookie Betts; Yordan Alvarez</t>
        </is>
      </c>
      <c r="N344" t="n">
        <v>6</v>
      </c>
      <c r="O344" t="inlineStr">
        <is>
          <t>+8600</t>
        </is>
      </c>
      <c r="P344" s="4" t="n">
        <v>87</v>
      </c>
      <c r="Q344" s="5" t="n">
        <v>500</v>
      </c>
      <c r="R344" t="inlineStr"/>
      <c r="S344" s="5" t="n">
        <v>43500</v>
      </c>
      <c r="T344" t="inlineStr">
        <is>
          <t>PrizePicks</t>
        </is>
      </c>
      <c r="U344" t="inlineStr">
        <is>
          <t>L</t>
        </is>
      </c>
      <c r="V344" s="5">
        <f>IF(NOT(ISNUMBER(Q344)),"",IF(U344="W",IF(ISNUMBER(S344),S344-Q344,IF(ISNUMBER(P344),Q344*(P344-1),"")),IF(U344="L",-Q344,IF(U344="Push",0,""))))</f>
        <v/>
      </c>
      <c r="W344">
        <f>IF(NOT(ISNUMBER(R344)),"",IF(U344="W",IF(ISNUMBER(P344),R344*(P344-1),""),IF(U344="L",-R344,IF(U344="Push",0,""))))</f>
        <v/>
      </c>
      <c r="X344" t="inlineStr">
        <is>
          <t>graded from final</t>
        </is>
      </c>
      <c r="Y344" t="inlineStr">
        <is>
          <t>N</t>
        </is>
      </c>
      <c r="Z344" t="inlineStr">
        <is>
          <t>https://x.com/BookitWithTrent/status/2102866915731386486</t>
        </is>
      </c>
      <c r="AA344" t="inlineStr">
        <is>
          <t>Collab w/ @rudebets; Final: Moniak 0 H+R+RBI</t>
        </is>
      </c>
      <c r="AB344" t="inlineStr">
        <is>
          <t>Parlay/multi-leg</t>
        </is>
      </c>
      <c r="AC344" s="5">
        <f>IF(ISNUMBER(V344),Q344,"")</f>
        <v/>
      </c>
      <c r="AD344">
        <f>IF(ISNUMBER(W344),R344,"")</f>
        <v/>
      </c>
    </row>
    <row r="345">
      <c r="A345" t="inlineStr">
        <is>
          <t>T-628326</t>
        </is>
      </c>
      <c r="B345" t="inlineStr">
        <is>
          <t>Trent</t>
        </is>
      </c>
      <c r="C345" s="2" t="n">
        <v>46288.98365740741</v>
      </c>
      <c r="D345">
        <f>IF(C345="","",TEXT(C345,"dddd"))</f>
        <v/>
      </c>
      <c r="E345" s="3" t="n">
        <v>46289</v>
      </c>
      <c r="F345">
        <f>IF(E345="","",TEXT(E345,"dddd"))</f>
        <v/>
      </c>
      <c r="G345" t="inlineStr">
        <is>
          <t>not matched</t>
        </is>
      </c>
      <c r="H345" t="inlineStr">
        <is>
          <t>N</t>
        </is>
      </c>
      <c r="I345" t="inlineStr"/>
      <c r="J345" t="inlineStr">
        <is>
          <t>Other</t>
        </is>
      </c>
      <c r="K345" t="inlineStr">
        <is>
          <t>KBO/NPB baseball + tennis</t>
        </is>
      </c>
      <c r="L345" t="inlineStr">
        <is>
          <t>parlay</t>
        </is>
      </c>
      <c r="M345" t="inlineStr">
        <is>
          <t>LG Twins win; Samsung Lions win; KT Wiz win; Hokkaido Nippon-Ham Fighters win; Lorenzo Sonego win; Denis Shapovalov win (slip may be cropped)</t>
        </is>
      </c>
      <c r="N345" t="n">
        <v>6</v>
      </c>
      <c r="O345" t="inlineStr">
        <is>
          <t>not shown</t>
        </is>
      </c>
      <c r="P345" s="4" t="inlineStr"/>
      <c r="Q345" s="5" t="inlineStr"/>
      <c r="R345" t="inlineStr"/>
      <c r="S345" s="5" t="inlineStr">
        <is>
          <t>not shown</t>
        </is>
      </c>
      <c r="T345" t="inlineStr">
        <is>
          <t>not shown</t>
        </is>
      </c>
      <c r="U345" t="inlineStr">
        <is>
          <t>Unknown</t>
        </is>
      </c>
      <c r="V345" s="5">
        <f>IF(NOT(ISNUMBER(Q345)),"",IF(U345="W",IF(ISNUMBER(S345),S345-Q345,IF(ISNUMBER(P345),Q345*(P345-1),"")),IF(U345="L",-Q345,IF(U345="Push",0,""))))</f>
        <v/>
      </c>
      <c r="W345">
        <f>IF(NOT(ISNUMBER(R345)),"",IF(U345="W",IF(ISNUMBER(P345),R345*(P345-1),""),IF(U345="L",-R345,IF(U345="Push",0,""))))</f>
        <v/>
      </c>
      <c r="X345" t="inlineStr">
        <is>
          <t>unverified</t>
        </is>
      </c>
      <c r="Y345" t="inlineStr">
        <is>
          <t>N</t>
        </is>
      </c>
      <c r="Z345" t="inlineStr">
        <is>
          <t>https://x.com/BookitWithTrent/status/2102980463635628326</t>
        </is>
      </c>
      <c r="AA345" t="inlineStr">
        <is>
          <t>Late-night "wake and cash" style slip</t>
        </is>
      </c>
      <c r="AB345" t="inlineStr">
        <is>
          <t>Parlay/multi-leg</t>
        </is>
      </c>
      <c r="AC345" s="5">
        <f>IF(ISNUMBER(V345),Q345,"")</f>
        <v/>
      </c>
      <c r="AD345">
        <f>IF(ISNUMBER(W345),R345,"")</f>
        <v/>
      </c>
    </row>
    <row r="346">
      <c r="A346" t="inlineStr">
        <is>
          <t>T-023831</t>
        </is>
      </c>
      <c r="B346" t="inlineStr">
        <is>
          <t>Trent</t>
        </is>
      </c>
      <c r="C346" s="2" t="n">
        <v>46289.37106481481</v>
      </c>
      <c r="D346">
        <f>IF(C346="","",TEXT(C346,"dddd"))</f>
        <v/>
      </c>
      <c r="E346" s="3" t="n">
        <v>46289</v>
      </c>
      <c r="F346">
        <f>IF(E346="","",TEXT(E346,"dddd"))</f>
        <v/>
      </c>
      <c r="G346" t="inlineStr">
        <is>
          <t>8:15 PM</t>
        </is>
      </c>
      <c r="H346" t="inlineStr">
        <is>
          <t>Y</t>
        </is>
      </c>
      <c r="I346" t="inlineStr">
        <is>
          <t>TNF</t>
        </is>
      </c>
      <c r="J346" t="inlineStr">
        <is>
          <t>NFL</t>
        </is>
      </c>
      <c r="K346" t="inlineStr">
        <is>
          <t>NFL</t>
        </is>
      </c>
      <c r="L346" t="inlineStr">
        <is>
          <t>PrizePicks/DFS</t>
        </is>
      </c>
      <c r="M346" t="inlineStr">
        <is>
          <t>Drake London o8 rec targets; Tucker Kraft o46.5 rec yds; Bijan Robinson o127.5 rush+rec yds; Trey Smack o1.5 FG made</t>
        </is>
      </c>
      <c r="N346" t="n">
        <v>4</v>
      </c>
      <c r="O346" t="inlineStr">
        <is>
          <t>+900</t>
        </is>
      </c>
      <c r="P346" s="4" t="n">
        <v>10</v>
      </c>
      <c r="Q346" s="5" t="n">
        <v>1000</v>
      </c>
      <c r="R346" t="inlineStr"/>
      <c r="S346" s="5" t="n">
        <v>10000</v>
      </c>
      <c r="T346" t="inlineStr">
        <is>
          <t>PrizePicks</t>
        </is>
      </c>
      <c r="U346" t="inlineStr">
        <is>
          <t>L</t>
        </is>
      </c>
      <c r="V346" s="5">
        <f>IF(NOT(ISNUMBER(Q346)),"",IF(U346="W",IF(ISNUMBER(S346),S346-Q346,IF(ISNUMBER(P346),Q346*(P346-1),"")),IF(U346="L",-Q346,IF(U346="Push",0,""))))</f>
        <v/>
      </c>
      <c r="W346">
        <f>IF(NOT(ISNUMBER(R346)),"",IF(U346="W",IF(ISNUMBER(P346),R346*(P346-1),""),IF(U346="L",-R346,IF(U346="Push",0,""))))</f>
        <v/>
      </c>
      <c r="X346" t="inlineStr">
        <is>
          <t>graded from final</t>
        </is>
      </c>
      <c r="Y346" t="inlineStr">
        <is>
          <t>N</t>
        </is>
      </c>
      <c r="Z346" t="inlineStr">
        <is>
          <t>https://x.com/BookitWithTrent/status/2103120854167023831</t>
        </is>
      </c>
      <c r="AA346" t="inlineStr">
        <is>
          <t>"I've had this locked in since Monday" (TNF); Final: Kraft 26 rec yds</t>
        </is>
      </c>
      <c r="AB346" t="inlineStr">
        <is>
          <t>Parlay/multi-leg</t>
        </is>
      </c>
      <c r="AC346" s="5">
        <f>IF(ISNUMBER(V346),Q346,"")</f>
        <v/>
      </c>
      <c r="AD346">
        <f>IF(ISNUMBER(W346),R346,"")</f>
        <v/>
      </c>
    </row>
    <row r="347">
      <c r="A347" t="inlineStr">
        <is>
          <t>S-070158</t>
        </is>
      </c>
      <c r="B347" t="inlineStr">
        <is>
          <t>Steve</t>
        </is>
      </c>
      <c r="C347" s="2" t="n">
        <v>46289.46336805556</v>
      </c>
      <c r="D347">
        <f>IF(C347="","",TEXT(C347,"dddd"))</f>
        <v/>
      </c>
      <c r="E347" s="3" t="n">
        <v>46289</v>
      </c>
      <c r="F347">
        <f>IF(E347="","",TEXT(E347,"dddd"))</f>
        <v/>
      </c>
      <c r="G347" t="inlineStr">
        <is>
          <t>2:20 PM</t>
        </is>
      </c>
      <c r="H347" t="inlineStr">
        <is>
          <t>N</t>
        </is>
      </c>
      <c r="I347" t="inlineStr"/>
      <c r="J347" t="inlineStr">
        <is>
          <t>MLB</t>
        </is>
      </c>
      <c r="K347" t="inlineStr">
        <is>
          <t>MLB</t>
        </is>
      </c>
      <c r="L347" t="inlineStr">
        <is>
          <t>ML</t>
        </is>
      </c>
      <c r="M347" t="inlineStr">
        <is>
          <t>Chicago Cubs ML vs Miami Marlins</t>
        </is>
      </c>
      <c r="N347" t="n">
        <v>1</v>
      </c>
      <c r="O347" t="inlineStr">
        <is>
          <t>-208</t>
        </is>
      </c>
      <c r="P347" s="4" t="n">
        <v>1.4808</v>
      </c>
      <c r="Q347" s="5" t="n">
        <v>100000</v>
      </c>
      <c r="R347" t="inlineStr"/>
      <c r="S347" s="5" t="n">
        <v>148000</v>
      </c>
      <c r="T347" t="inlineStr">
        <is>
          <t>Gamdom</t>
        </is>
      </c>
      <c r="U347" t="inlineStr">
        <is>
          <t>W</t>
        </is>
      </c>
      <c r="V347" s="5">
        <f>IF(NOT(ISNUMBER(Q347)),"",IF(U347="W",IF(ISNUMBER(S347),S347-Q347,IF(ISNUMBER(P347),Q347*(P347-1),"")),IF(U347="L",-Q347,IF(U347="Push",0,""))))</f>
        <v/>
      </c>
      <c r="W347">
        <f>IF(NOT(ISNUMBER(R347)),"",IF(U347="W",IF(ISNUMBER(P347),R347*(P347-1),""),IF(U347="L",-R347,IF(U347="Push",0,""))))</f>
        <v/>
      </c>
      <c r="X347" t="inlineStr">
        <is>
          <t>graded from final</t>
        </is>
      </c>
      <c r="Y347" t="inlineStr">
        <is>
          <t>Y - tags Gamdom</t>
        </is>
      </c>
      <c r="Z347" t="inlineStr">
        <is>
          <t>https://x.com/stevewilldoit/status/2103154303431070158</t>
        </is>
      </c>
      <c r="AA347" t="inlineStr">
        <is>
          <t>6ix9ine "Cubs can't get swept by the marlins"</t>
        </is>
      </c>
      <c r="AB347" t="inlineStr">
        <is>
          <t>Single</t>
        </is>
      </c>
      <c r="AC347" s="5">
        <f>IF(ISNUMBER(V347),Q347,"")</f>
        <v/>
      </c>
      <c r="AD347">
        <f>IF(ISNUMBER(W347),R347,"")</f>
        <v/>
      </c>
    </row>
    <row r="348">
      <c r="A348" t="inlineStr">
        <is>
          <t>T-932229</t>
        </is>
      </c>
      <c r="B348" t="inlineStr">
        <is>
          <t>Trent</t>
        </is>
      </c>
      <c r="C348" s="2" t="n">
        <v>46289.49693287037</v>
      </c>
      <c r="D348">
        <f>IF(C348="","",TEXT(C348,"dddd"))</f>
        <v/>
      </c>
      <c r="E348" s="3" t="n">
        <v>46289</v>
      </c>
      <c r="F348">
        <f>IF(E348="","",TEXT(E348,"dddd"))</f>
        <v/>
      </c>
      <c r="G348" t="inlineStr">
        <is>
          <t>8:15 PM</t>
        </is>
      </c>
      <c r="H348" t="inlineStr">
        <is>
          <t>Y</t>
        </is>
      </c>
      <c r="I348" t="inlineStr">
        <is>
          <t>TNF</t>
        </is>
      </c>
      <c r="J348" t="inlineStr">
        <is>
          <t>NFL</t>
        </is>
      </c>
      <c r="K348" t="inlineStr">
        <is>
          <t>NFL</t>
        </is>
      </c>
      <c r="L348" t="inlineStr">
        <is>
          <t>spread</t>
        </is>
      </c>
      <c r="M348" t="inlineStr">
        <is>
          <t>Atlanta Falcons +4.5 vs Packers (TNF)</t>
        </is>
      </c>
      <c r="N348" t="n">
        <v>1</v>
      </c>
      <c r="O348" t="inlineStr">
        <is>
          <t>not shown</t>
        </is>
      </c>
      <c r="P348" s="4" t="inlineStr"/>
      <c r="Q348" s="5" t="inlineStr"/>
      <c r="R348" t="n">
        <v>5</v>
      </c>
      <c r="S348" s="5" t="inlineStr"/>
      <c r="T348" t="inlineStr">
        <is>
          <t>not shown</t>
        </is>
      </c>
      <c r="U348" t="inlineStr">
        <is>
          <t>W</t>
        </is>
      </c>
      <c r="V348" s="5">
        <f>IF(NOT(ISNUMBER(Q348)),"",IF(U348="W",IF(ISNUMBER(S348),S348-Q348,IF(ISNUMBER(P348),Q348*(P348-1),"")),IF(U348="L",-Q348,IF(U348="Push",0,""))))</f>
        <v/>
      </c>
      <c r="W348">
        <f>IF(NOT(ISNUMBER(R348)),"",IF(U348="W",IF(ISNUMBER(P348),R348*(P348-1),""),IF(U348="L",-R348,IF(U348="Push",0,""))))</f>
        <v/>
      </c>
      <c r="X348" t="inlineStr">
        <is>
          <t>posted</t>
        </is>
      </c>
      <c r="Y348" t="inlineStr">
        <is>
          <t>N</t>
        </is>
      </c>
      <c r="Z348" t="inlineStr">
        <is>
          <t>https://x.com/BookitWithTrent/status/2103166467566932229</t>
        </is>
      </c>
      <c r="AA348" t="inlineStr">
        <is>
          <t>"THURSDAY NIGHT MORTAL MEGA MAX" 5U; initial tweet 723518 said "Falcons +4.5❌" but later PrimeTime recap 259465 shows ✅ and final ATL 35-14</t>
        </is>
      </c>
      <c r="AB348" t="inlineStr">
        <is>
          <t>Single</t>
        </is>
      </c>
      <c r="AC348" s="5">
        <f>IF(ISNUMBER(V348),Q348,"")</f>
        <v/>
      </c>
      <c r="AD348">
        <f>IF(ISNUMBER(W348),R348,"")</f>
        <v/>
      </c>
    </row>
    <row r="349">
      <c r="A349" t="inlineStr">
        <is>
          <t>T-572510</t>
        </is>
      </c>
      <c r="B349" t="inlineStr">
        <is>
          <t>Trent</t>
        </is>
      </c>
      <c r="C349" s="2" t="n">
        <v>46289.63021990741</v>
      </c>
      <c r="D349">
        <f>IF(C349="","",TEXT(C349,"dddd"))</f>
        <v/>
      </c>
      <c r="E349" s="3" t="n">
        <v>46289</v>
      </c>
      <c r="F349">
        <f>IF(E349="","",TEXT(E349,"dddd"))</f>
        <v/>
      </c>
      <c r="G349" t="inlineStr">
        <is>
          <t>8:15 PM</t>
        </is>
      </c>
      <c r="H349" t="inlineStr">
        <is>
          <t>Y</t>
        </is>
      </c>
      <c r="I349" t="inlineStr">
        <is>
          <t>TNF</t>
        </is>
      </c>
      <c r="J349" t="inlineStr">
        <is>
          <t>NFL</t>
        </is>
      </c>
      <c r="K349" t="inlineStr">
        <is>
          <t>NFL</t>
        </is>
      </c>
      <c r="L349" t="inlineStr">
        <is>
          <t>first TD</t>
        </is>
      </c>
      <c r="M349" t="inlineStr">
        <is>
          <t>Drake London first TD scorer (TNF)</t>
        </is>
      </c>
      <c r="N349" t="n">
        <v>1</v>
      </c>
      <c r="O349" t="inlineStr">
        <is>
          <t>+1011</t>
        </is>
      </c>
      <c r="P349" s="4" t="n">
        <v>11.11</v>
      </c>
      <c r="Q349" s="5" t="n">
        <v>270</v>
      </c>
      <c r="R349" t="inlineStr"/>
      <c r="S349" s="5" t="n">
        <v>3000</v>
      </c>
      <c r="T349" t="inlineStr">
        <is>
          <t>PrizePicks</t>
        </is>
      </c>
      <c r="U349" t="inlineStr">
        <is>
          <t>L</t>
        </is>
      </c>
      <c r="V349" s="5">
        <f>IF(NOT(ISNUMBER(Q349)),"",IF(U349="W",IF(ISNUMBER(S349),S349-Q349,IF(ISNUMBER(P349),Q349*(P349-1),"")),IF(U349="L",-Q349,IF(U349="Push",0,""))))</f>
        <v/>
      </c>
      <c r="W349">
        <f>IF(NOT(ISNUMBER(R349)),"",IF(U349="W",IF(ISNUMBER(P349),R349*(P349-1),""),IF(U349="L",-R349,IF(U349="Push",0,""))))</f>
        <v/>
      </c>
      <c r="X349" t="inlineStr">
        <is>
          <t>posted</t>
        </is>
      </c>
      <c r="Y349" t="inlineStr">
        <is>
          <t>N</t>
        </is>
      </c>
      <c r="Z349" t="inlineStr">
        <is>
          <t>https://x.com/BookitWithTrent/status/2103214768756572510</t>
        </is>
      </c>
      <c r="AA349" t="inlineStr">
        <is>
          <t>"Congrats Watson +130 first touchdown bettors"; record to 0-8; post says +1000</t>
        </is>
      </c>
      <c r="AB349" t="inlineStr">
        <is>
          <t>Single</t>
        </is>
      </c>
      <c r="AC349" s="5">
        <f>IF(ISNUMBER(V349),Q349,"")</f>
        <v/>
      </c>
      <c r="AD349">
        <f>IF(ISNUMBER(W349),R349,"")</f>
        <v/>
      </c>
    </row>
    <row r="350">
      <c r="A350" t="inlineStr">
        <is>
          <t>S-102940</t>
        </is>
      </c>
      <c r="B350" t="inlineStr">
        <is>
          <t>Steve</t>
        </is>
      </c>
      <c r="C350" s="2" t="n">
        <v>46289.64219907407</v>
      </c>
      <c r="D350">
        <f>IF(C350="","",TEXT(C350,"dddd"))</f>
        <v/>
      </c>
      <c r="E350" s="3" t="n">
        <v>46289</v>
      </c>
      <c r="F350">
        <f>IF(E350="","",TEXT(E350,"dddd"))</f>
        <v/>
      </c>
      <c r="G350" t="inlineStr">
        <is>
          <t>9:40 PM</t>
        </is>
      </c>
      <c r="H350" t="inlineStr">
        <is>
          <t>N</t>
        </is>
      </c>
      <c r="I350" t="inlineStr"/>
      <c r="J350" t="inlineStr">
        <is>
          <t>MLB</t>
        </is>
      </c>
      <c r="K350" t="inlineStr">
        <is>
          <t>MLB</t>
        </is>
      </c>
      <c r="L350" t="inlineStr">
        <is>
          <t>ML</t>
        </is>
      </c>
      <c r="M350" t="inlineStr">
        <is>
          <t>Houston Astros ML vs Athletics</t>
        </is>
      </c>
      <c r="N350" t="n">
        <v>1</v>
      </c>
      <c r="O350" t="inlineStr">
        <is>
          <t>-172</t>
        </is>
      </c>
      <c r="P350" s="4" t="n">
        <v>1.5814</v>
      </c>
      <c r="Q350" s="5" t="n">
        <v>97471</v>
      </c>
      <c r="R350" t="inlineStr"/>
      <c r="S350" s="5" t="n">
        <v>154004.18</v>
      </c>
      <c r="T350" t="inlineStr">
        <is>
          <t>Gamdom</t>
        </is>
      </c>
      <c r="U350" t="inlineStr">
        <is>
          <t>W</t>
        </is>
      </c>
      <c r="V350" s="5">
        <f>IF(NOT(ISNUMBER(Q350)),"",IF(U350="W",IF(ISNUMBER(S350),S350-Q350,IF(ISNUMBER(P350),Q350*(P350-1),"")),IF(U350="L",-Q350,IF(U350="Push",0,""))))</f>
        <v/>
      </c>
      <c r="W350">
        <f>IF(NOT(ISNUMBER(R350)),"",IF(U350="W",IF(ISNUMBER(P350),R350*(P350-1),""),IF(U350="L",-R350,IF(U350="Push",0,""))))</f>
        <v/>
      </c>
      <c r="X350" t="inlineStr">
        <is>
          <t>graded from final</t>
        </is>
      </c>
      <c r="Y350" t="inlineStr">
        <is>
          <t>Y - tags Gamdom</t>
        </is>
      </c>
      <c r="Z350" t="inlineStr">
        <is>
          <t>https://x.com/stevewilldoit/status/2103219110549102940</t>
        </is>
      </c>
      <c r="AA350" t="inlineStr">
        <is>
          <t>AI guy pick</t>
        </is>
      </c>
      <c r="AB350" t="inlineStr">
        <is>
          <t>Single</t>
        </is>
      </c>
      <c r="AC350" s="5">
        <f>IF(ISNUMBER(V350),Q350,"")</f>
        <v/>
      </c>
      <c r="AD350">
        <f>IF(ISNUMBER(W350),R350,"")</f>
        <v/>
      </c>
    </row>
    <row r="351">
      <c r="A351" t="inlineStr">
        <is>
          <t>S-951652</t>
        </is>
      </c>
      <c r="B351" t="inlineStr">
        <is>
          <t>Steve</t>
        </is>
      </c>
      <c r="C351" s="2" t="n">
        <v>46289.66546296296</v>
      </c>
      <c r="D351">
        <f>IF(C351="","",TEXT(C351,"dddd"))</f>
        <v/>
      </c>
      <c r="E351" s="3" t="n">
        <v>46289</v>
      </c>
      <c r="F351">
        <f>IF(E351="","",TEXT(E351,"dddd"))</f>
        <v/>
      </c>
      <c r="G351" t="inlineStr">
        <is>
          <t>8:15 PM</t>
        </is>
      </c>
      <c r="H351" t="inlineStr">
        <is>
          <t>Y</t>
        </is>
      </c>
      <c r="I351" t="inlineStr">
        <is>
          <t>TNF</t>
        </is>
      </c>
      <c r="J351" t="inlineStr">
        <is>
          <t>NFL</t>
        </is>
      </c>
      <c r="K351" t="inlineStr">
        <is>
          <t>NFL</t>
        </is>
      </c>
      <c r="L351" t="inlineStr">
        <is>
          <t>ML</t>
        </is>
      </c>
      <c r="M351" t="inlineStr">
        <is>
          <t>Atlanta Falcons ML vs Green Bay Packers (TNF)</t>
        </is>
      </c>
      <c r="N351" t="n">
        <v>1</v>
      </c>
      <c r="O351" t="inlineStr">
        <is>
          <t>+197</t>
        </is>
      </c>
      <c r="P351" s="4" t="n">
        <v>2.97</v>
      </c>
      <c r="Q351" s="5" t="n">
        <v>100000</v>
      </c>
      <c r="R351" t="inlineStr"/>
      <c r="S351" s="5" t="n">
        <v>297000</v>
      </c>
      <c r="T351" t="inlineStr">
        <is>
          <t>Gamdom</t>
        </is>
      </c>
      <c r="U351" t="inlineStr">
        <is>
          <t>W</t>
        </is>
      </c>
      <c r="V351" s="5">
        <f>IF(NOT(ISNUMBER(Q351)),"",IF(U351="W",IF(ISNUMBER(S351),S351-Q351,IF(ISNUMBER(P351),Q351*(P351-1),"")),IF(U351="L",-Q351,IF(U351="Push",0,""))))</f>
        <v/>
      </c>
      <c r="W351">
        <f>IF(NOT(ISNUMBER(R351)),"",IF(U351="W",IF(ISNUMBER(P351),R351*(P351-1),""),IF(U351="L",-R351,IF(U351="Push",0,""))))</f>
        <v/>
      </c>
      <c r="X351" t="inlineStr">
        <is>
          <t>graded from final</t>
        </is>
      </c>
      <c r="Y351" t="inlineStr">
        <is>
          <t>Y - tags Gamdom</t>
        </is>
      </c>
      <c r="Z351" t="inlineStr">
        <is>
          <t>https://x.com/stevewilldoit/status/2103227542995951652</t>
        </is>
      </c>
      <c r="AA351" t="inlineStr">
        <is>
          <t>"Mexican steve told me falcons"</t>
        </is>
      </c>
      <c r="AB351" t="inlineStr">
        <is>
          <t>Single</t>
        </is>
      </c>
      <c r="AC351" s="5">
        <f>IF(ISNUMBER(V351),Q351,"")</f>
        <v/>
      </c>
      <c r="AD351">
        <f>IF(ISNUMBER(W351),R351,"")</f>
        <v/>
      </c>
    </row>
    <row r="352">
      <c r="A352" t="inlineStr">
        <is>
          <t>T-563625</t>
        </is>
      </c>
      <c r="B352" t="inlineStr">
        <is>
          <t>Trent</t>
        </is>
      </c>
      <c r="C352" s="2" t="n">
        <v>46289.99375</v>
      </c>
      <c r="D352">
        <f>IF(C352="","",TEXT(C352,"dddd"))</f>
        <v/>
      </c>
      <c r="E352" s="3" t="n">
        <v>46290</v>
      </c>
      <c r="F352">
        <f>IF(E352="","",TEXT(E352,"dddd"))</f>
        <v/>
      </c>
      <c r="G352" t="inlineStr">
        <is>
          <t>not matched</t>
        </is>
      </c>
      <c r="H352" t="inlineStr">
        <is>
          <t>N</t>
        </is>
      </c>
      <c r="I352" t="inlineStr"/>
      <c r="J352" t="inlineStr">
        <is>
          <t>Other</t>
        </is>
      </c>
      <c r="K352" t="inlineStr">
        <is>
          <t>KBO/NPB baseball</t>
        </is>
      </c>
      <c r="L352" t="inlineStr">
        <is>
          <t>parlay</t>
        </is>
      </c>
      <c r="M352" t="inlineStr">
        <is>
          <t>Samsung Lions win; Lotte Giants win; Yomiuri Giants win; Saitama Seibu Lions win (slip may be cropped)</t>
        </is>
      </c>
      <c r="N352" t="n">
        <v>4</v>
      </c>
      <c r="O352" t="inlineStr">
        <is>
          <t>not shown</t>
        </is>
      </c>
      <c r="P352" s="4" t="inlineStr"/>
      <c r="Q352" s="5" t="inlineStr"/>
      <c r="R352" t="inlineStr"/>
      <c r="S352" s="5" t="inlineStr">
        <is>
          <t>not shown</t>
        </is>
      </c>
      <c r="T352" t="inlineStr">
        <is>
          <t>not shown</t>
        </is>
      </c>
      <c r="U352" t="inlineStr">
        <is>
          <t>Unknown</t>
        </is>
      </c>
      <c r="V352" s="5">
        <f>IF(NOT(ISNUMBER(Q352)),"",IF(U352="W",IF(ISNUMBER(S352),S352-Q352,IF(ISNUMBER(P352),Q352*(P352-1),"")),IF(U352="L",-Q352,IF(U352="Push",0,""))))</f>
        <v/>
      </c>
      <c r="W352">
        <f>IF(NOT(ISNUMBER(R352)),"",IF(U352="W",IF(ISNUMBER(P352),R352*(P352-1),""),IF(U352="L",-R352,IF(U352="Push",0,""))))</f>
        <v/>
      </c>
      <c r="X352" t="inlineStr">
        <is>
          <t>unverified</t>
        </is>
      </c>
      <c r="Y352" t="inlineStr">
        <is>
          <t>N</t>
        </is>
      </c>
      <c r="Z352" t="inlineStr">
        <is>
          <t>https://x.com/BookitWithTrent/status/2103346508917563625</t>
        </is>
      </c>
      <c r="AA352" t="inlineStr">
        <is>
          <t>Late-night slip ("wake and cash?")</t>
        </is>
      </c>
      <c r="AB352" t="inlineStr">
        <is>
          <t>Parlay/multi-leg</t>
        </is>
      </c>
      <c r="AC352" s="5">
        <f>IF(ISNUMBER(V352),Q352,"")</f>
        <v/>
      </c>
      <c r="AD352">
        <f>IF(ISNUMBER(W352),R352,"")</f>
        <v/>
      </c>
    </row>
    <row r="353">
      <c r="A353" t="inlineStr">
        <is>
          <t>S-366270</t>
        </is>
      </c>
      <c r="B353" t="inlineStr">
        <is>
          <t>Steve</t>
        </is>
      </c>
      <c r="C353" s="2" t="n">
        <v>46290.4569212963</v>
      </c>
      <c r="D353">
        <f>IF(C353="","",TEXT(C353,"dddd"))</f>
        <v/>
      </c>
      <c r="E353" s="3" t="n">
        <v>46290</v>
      </c>
      <c r="F353">
        <f>IF(E353="","",TEXT(E353,"dddd"))</f>
        <v/>
      </c>
      <c r="G353" t="inlineStr">
        <is>
          <t>7:40 PM</t>
        </is>
      </c>
      <c r="H353" t="inlineStr">
        <is>
          <t>N</t>
        </is>
      </c>
      <c r="I353" t="inlineStr"/>
      <c r="J353" t="inlineStr">
        <is>
          <t>MLB</t>
        </is>
      </c>
      <c r="K353" t="inlineStr">
        <is>
          <t>MLB</t>
        </is>
      </c>
      <c r="L353" t="inlineStr">
        <is>
          <t>ML</t>
        </is>
      </c>
      <c r="M353" t="inlineStr">
        <is>
          <t>Chicago White Sox ML vs Colorado Rockies</t>
        </is>
      </c>
      <c r="N353" t="n">
        <v>1</v>
      </c>
      <c r="O353" t="inlineStr">
        <is>
          <t>-244</t>
        </is>
      </c>
      <c r="P353" s="4" t="n">
        <v>1.4098</v>
      </c>
      <c r="Q353" s="5" t="n">
        <v>100000</v>
      </c>
      <c r="R353" t="inlineStr"/>
      <c r="S353" s="5" t="n">
        <v>141000</v>
      </c>
      <c r="T353" t="inlineStr">
        <is>
          <t>Gamdom</t>
        </is>
      </c>
      <c r="U353" t="inlineStr">
        <is>
          <t>W</t>
        </is>
      </c>
      <c r="V353" s="5">
        <f>IF(NOT(ISNUMBER(Q353)),"",IF(U353="W",IF(ISNUMBER(S353),S353-Q353,IF(ISNUMBER(P353),Q353*(P353-1),"")),IF(U353="L",-Q353,IF(U353="Push",0,""))))</f>
        <v/>
      </c>
      <c r="W353">
        <f>IF(NOT(ISNUMBER(R353)),"",IF(U353="W",IF(ISNUMBER(P353),R353*(P353-1),""),IF(U353="L",-R353,IF(U353="Push",0,""))))</f>
        <v/>
      </c>
      <c r="X353" t="inlineStr">
        <is>
          <t>graded from final</t>
        </is>
      </c>
      <c r="Y353" t="inlineStr">
        <is>
          <t>Y - tags Gamdom</t>
        </is>
      </c>
      <c r="Z353" t="inlineStr">
        <is>
          <t>https://x.com/stevewilldoit/status/2103514354230366270</t>
        </is>
      </c>
      <c r="AA353" t="inlineStr">
        <is>
          <t>6ix9ine/"Danny" pick ("NUKE THE WHITESOX TODAY")</t>
        </is>
      </c>
      <c r="AB353" t="inlineStr">
        <is>
          <t>Single</t>
        </is>
      </c>
      <c r="AC353" s="5">
        <f>IF(ISNUMBER(V353),Q353,"")</f>
        <v/>
      </c>
      <c r="AD353">
        <f>IF(ISNUMBER(W353),R353,"")</f>
        <v/>
      </c>
    </row>
    <row r="354">
      <c r="A354" t="inlineStr">
        <is>
          <t>T-715492</t>
        </is>
      </c>
      <c r="B354" t="inlineStr">
        <is>
          <t>Trent</t>
        </is>
      </c>
      <c r="C354" s="2" t="n">
        <v>46290.49799768518</v>
      </c>
      <c r="D354">
        <f>IF(C354="","",TEXT(C354,"dddd"))</f>
        <v/>
      </c>
      <c r="E354" s="3" t="n">
        <v>46290</v>
      </c>
      <c r="F354">
        <f>IF(E354="","",TEXT(E354,"dddd"))</f>
        <v/>
      </c>
      <c r="G354" t="inlineStr">
        <is>
          <t>not matched</t>
        </is>
      </c>
      <c r="H354" t="inlineStr">
        <is>
          <t>N</t>
        </is>
      </c>
      <c r="I354" t="inlineStr"/>
      <c r="J354" t="inlineStr">
        <is>
          <t>MLB</t>
        </is>
      </c>
      <c r="K354" t="inlineStr">
        <is>
          <t>MLB</t>
        </is>
      </c>
      <c r="L354" t="inlineStr">
        <is>
          <t>NRFI</t>
        </is>
      </c>
      <c r="M354" t="inlineStr">
        <is>
          <t>NRFI Cubs vs Red Sox</t>
        </is>
      </c>
      <c r="N354" t="n">
        <v>1</v>
      </c>
      <c r="O354" t="inlineStr">
        <is>
          <t>-200</t>
        </is>
      </c>
      <c r="P354" s="4" t="n">
        <v>1.5</v>
      </c>
      <c r="Q354" s="5" t="n">
        <v>1000</v>
      </c>
      <c r="R354" t="inlineStr"/>
      <c r="S354" s="5" t="n">
        <v>1500</v>
      </c>
      <c r="T354" t="inlineStr">
        <is>
          <t>not shown</t>
        </is>
      </c>
      <c r="U354" t="inlineStr">
        <is>
          <t>L</t>
        </is>
      </c>
      <c r="V354" s="5">
        <f>IF(NOT(ISNUMBER(Q354)),"",IF(U354="W",IF(ISNUMBER(S354),S354-Q354,IF(ISNUMBER(P354),Q354*(P354-1),"")),IF(U354="L",-Q354,IF(U354="Push",0,""))))</f>
        <v/>
      </c>
      <c r="W354">
        <f>IF(NOT(ISNUMBER(R354)),"",IF(U354="W",IF(ISNUMBER(P354),R354*(P354-1),""),IF(U354="L",-R354,IF(U354="Push",0,""))))</f>
        <v/>
      </c>
      <c r="X354" t="inlineStr">
        <is>
          <t>posted</t>
        </is>
      </c>
      <c r="Y354" t="inlineStr">
        <is>
          <t>N</t>
        </is>
      </c>
      <c r="Z354" t="inlineStr">
        <is>
          <t>https://x.com/BookitWithTrent/status/2103529241069715492</t>
        </is>
      </c>
      <c r="AA354" t="inlineStr">
        <is>
          <t>"$1000 to win $500 on this -200 nrfi"; "im so fuckin stupid"</t>
        </is>
      </c>
      <c r="AB354" t="inlineStr">
        <is>
          <t>Single</t>
        </is>
      </c>
      <c r="AC354" s="5">
        <f>IF(ISNUMBER(V354),Q354,"")</f>
        <v/>
      </c>
      <c r="AD354">
        <f>IF(ISNUMBER(W354),R354,"")</f>
        <v/>
      </c>
    </row>
    <row r="355">
      <c r="A355" t="inlineStr">
        <is>
          <t>S-055758</t>
        </is>
      </c>
      <c r="B355" t="inlineStr">
        <is>
          <t>Steve</t>
        </is>
      </c>
      <c r="C355" s="2" t="n">
        <v>46290.62131944444</v>
      </c>
      <c r="D355">
        <f>IF(C355="","",TEXT(C355,"dddd"))</f>
        <v/>
      </c>
      <c r="E355" s="3" t="n">
        <v>46290</v>
      </c>
      <c r="F355">
        <f>IF(E355="","",TEXT(E355,"dddd"))</f>
        <v/>
      </c>
      <c r="G355" t="inlineStr">
        <is>
          <t>6:40 PM</t>
        </is>
      </c>
      <c r="H355" t="inlineStr">
        <is>
          <t>N</t>
        </is>
      </c>
      <c r="I355" t="inlineStr"/>
      <c r="J355" t="inlineStr">
        <is>
          <t>MLB</t>
        </is>
      </c>
      <c r="K355" t="inlineStr">
        <is>
          <t>MLB</t>
        </is>
      </c>
      <c r="L355" t="inlineStr">
        <is>
          <t>ML</t>
        </is>
      </c>
      <c r="M355" t="inlineStr">
        <is>
          <t>Philadelphia Phillies ML vs Tampa Bay Rays</t>
        </is>
      </c>
      <c r="N355" t="n">
        <v>1</v>
      </c>
      <c r="O355" t="inlineStr">
        <is>
          <t>-182</t>
        </is>
      </c>
      <c r="P355" s="4" t="n">
        <v>1.5495</v>
      </c>
      <c r="Q355" s="5" t="n">
        <v>100000</v>
      </c>
      <c r="R355" t="inlineStr"/>
      <c r="S355" s="5" t="n">
        <v>155000</v>
      </c>
      <c r="T355" t="inlineStr">
        <is>
          <t>Gamdom</t>
        </is>
      </c>
      <c r="U355" t="inlineStr">
        <is>
          <t>L</t>
        </is>
      </c>
      <c r="V355" s="5">
        <f>IF(NOT(ISNUMBER(Q355)),"",IF(U355="W",IF(ISNUMBER(S355),S355-Q355,IF(ISNUMBER(P355),Q355*(P355-1),"")),IF(U355="L",-Q355,IF(U355="Push",0,""))))</f>
        <v/>
      </c>
      <c r="W355">
        <f>IF(NOT(ISNUMBER(R355)),"",IF(U355="W",IF(ISNUMBER(P355),R355*(P355-1),""),IF(U355="L",-R355,IF(U355="Push",0,""))))</f>
        <v/>
      </c>
      <c r="X355" t="inlineStr">
        <is>
          <t>graded from final</t>
        </is>
      </c>
      <c r="Y355" t="inlineStr">
        <is>
          <t>Y - tags Gamdom, promo/giveaway language</t>
        </is>
      </c>
      <c r="Z355" t="inlineStr">
        <is>
          <t>https://x.com/stevewilldoit/status/2103573931601055758</t>
        </is>
      </c>
      <c r="AA355" t="inlineStr">
        <is>
          <t>AI guy "feeling Phillies today"</t>
        </is>
      </c>
      <c r="AB355" t="inlineStr">
        <is>
          <t>Single</t>
        </is>
      </c>
      <c r="AC355" s="5">
        <f>IF(ISNUMBER(V355),Q355,"")</f>
        <v/>
      </c>
      <c r="AD355">
        <f>IF(ISNUMBER(W355),R355,"")</f>
        <v/>
      </c>
    </row>
    <row r="356">
      <c r="A356" t="inlineStr">
        <is>
          <t>T-782936</t>
        </is>
      </c>
      <c r="B356" t="inlineStr">
        <is>
          <t>Trent</t>
        </is>
      </c>
      <c r="C356" s="2" t="n">
        <v>46290.62861111111</v>
      </c>
      <c r="D356">
        <f>IF(C356="","",TEXT(C356,"dddd"))</f>
        <v/>
      </c>
      <c r="E356" s="3" t="n">
        <v>46290</v>
      </c>
      <c r="F356">
        <f>IF(E356="","",TEXT(E356,"dddd"))</f>
        <v/>
      </c>
      <c r="G356" t="inlineStr">
        <is>
          <t>not matched</t>
        </is>
      </c>
      <c r="H356" t="inlineStr">
        <is>
          <t>Unknown</t>
        </is>
      </c>
      <c r="I356" t="inlineStr">
        <is>
          <t>kickoff not matched</t>
        </is>
      </c>
      <c r="J356" t="inlineStr">
        <is>
          <t>CFB</t>
        </is>
      </c>
      <c r="K356" t="inlineStr">
        <is>
          <t>NCAAF</t>
        </is>
      </c>
      <c r="L356" t="inlineStr">
        <is>
          <t>ML</t>
        </is>
      </c>
      <c r="M356" t="inlineStr">
        <is>
          <t>California Golden Bears ML vs Clemson</t>
        </is>
      </c>
      <c r="N356" t="n">
        <v>1</v>
      </c>
      <c r="O356" t="inlineStr">
        <is>
          <t>+108</t>
        </is>
      </c>
      <c r="P356" s="4" t="n">
        <v>2.08</v>
      </c>
      <c r="Q356" s="5" t="n">
        <v>979.2</v>
      </c>
      <c r="R356" t="inlineStr"/>
      <c r="S356" s="5" t="n">
        <v>2040</v>
      </c>
      <c r="T356" t="inlineStr">
        <is>
          <t>PrizePicks</t>
        </is>
      </c>
      <c r="U356" t="inlineStr">
        <is>
          <t>L</t>
        </is>
      </c>
      <c r="V356" s="5">
        <f>IF(NOT(ISNUMBER(Q356)),"",IF(U356="W",IF(ISNUMBER(S356),S356-Q356,IF(ISNUMBER(P356),Q356*(P356-1),"")),IF(U356="L",-Q356,IF(U356="Push",0,""))))</f>
        <v/>
      </c>
      <c r="W356">
        <f>IF(NOT(ISNUMBER(R356)),"",IF(U356="W",IF(ISNUMBER(P356),R356*(P356-1),""),IF(U356="L",-R356,IF(U356="Push",0,""))))</f>
        <v/>
      </c>
      <c r="X356" t="inlineStr">
        <is>
          <t>posted</t>
        </is>
      </c>
      <c r="Y356" t="inlineStr">
        <is>
          <t>N</t>
        </is>
      </c>
      <c r="Z356" t="inlineStr">
        <is>
          <t>https://x.com/BookitWithTrent/status/2103576574691782936</t>
        </is>
      </c>
      <c r="AA356" t="inlineStr">
        <is>
          <t>"CFB MORTAL MEGA MAX" (post says +100; "4U Friday Night CFB Mortal Mega Max"); "apologize... for the losing wager"</t>
        </is>
      </c>
      <c r="AB356" t="inlineStr">
        <is>
          <t>Single</t>
        </is>
      </c>
      <c r="AC356" s="5">
        <f>IF(ISNUMBER(V356),Q356,"")</f>
        <v/>
      </c>
      <c r="AD356">
        <f>IF(ISNUMBER(W356),R356,"")</f>
        <v/>
      </c>
    </row>
    <row r="357">
      <c r="A357" t="inlineStr">
        <is>
          <t>T-686567</t>
        </is>
      </c>
      <c r="B357" t="inlineStr">
        <is>
          <t>Trent</t>
        </is>
      </c>
      <c r="C357" s="2" t="n">
        <v>46290.67368055556</v>
      </c>
      <c r="D357">
        <f>IF(C357="","",TEXT(C357,"dddd"))</f>
        <v/>
      </c>
      <c r="E357" s="3" t="n">
        <v>46291</v>
      </c>
      <c r="F357">
        <f>IF(E357="","",TEXT(E357,"dddd"))</f>
        <v/>
      </c>
      <c r="G357" t="inlineStr">
        <is>
          <t>7:30 PM</t>
        </is>
      </c>
      <c r="H357" t="inlineStr">
        <is>
          <t>N</t>
        </is>
      </c>
      <c r="I357" t="inlineStr"/>
      <c r="J357" t="inlineStr">
        <is>
          <t>CFB</t>
        </is>
      </c>
      <c r="K357" t="inlineStr">
        <is>
          <t>NCAAF</t>
        </is>
      </c>
      <c r="L357" t="inlineStr">
        <is>
          <t>PrizePicks/DFS</t>
        </is>
      </c>
      <c r="M357" t="inlineStr">
        <is>
          <t>Texas win vs Tennessee; Ryan Wingo o50.5 rec yds; Florida win vs Ole Miss; Jadan Baugh o118.5 rush yds; Oregon win vs USC; Evan Stewart o48.5 rec yds</t>
        </is>
      </c>
      <c r="N357" t="n">
        <v>6</v>
      </c>
      <c r="O357" t="inlineStr">
        <is>
          <t>+1999</t>
        </is>
      </c>
      <c r="P357" s="4" t="n">
        <v>20.99</v>
      </c>
      <c r="Q357" s="5" t="n">
        <v>471</v>
      </c>
      <c r="R357" t="inlineStr"/>
      <c r="S357" s="5" t="n">
        <v>9891</v>
      </c>
      <c r="T357" t="inlineStr">
        <is>
          <t>PrizePicks</t>
        </is>
      </c>
      <c r="U357" t="inlineStr">
        <is>
          <t>W</t>
        </is>
      </c>
      <c r="V357" s="5">
        <f>IF(NOT(ISNUMBER(Q357)),"",IF(U357="W",IF(ISNUMBER(S357),S357-Q357,IF(ISNUMBER(P357),Q357*(P357-1),"")),IF(U357="L",-Q357,IF(U357="Push",0,""))))</f>
        <v/>
      </c>
      <c r="W357">
        <f>IF(NOT(ISNUMBER(R357)),"",IF(U357="W",IF(ISNUMBER(P357),R357*(P357-1),""),IF(U357="L",-R357,IF(U357="Push",0,""))))</f>
        <v/>
      </c>
      <c r="X357" t="inlineStr">
        <is>
          <t>graded from final</t>
        </is>
      </c>
      <c r="Y357" t="inlineStr">
        <is>
          <t>N</t>
        </is>
      </c>
      <c r="Z357" t="inlineStr">
        <is>
          <t>https://x.com/BookitWithTrent/status/2103592906250686567</t>
        </is>
      </c>
      <c r="AA357" t="inlineStr"/>
      <c r="AB357" t="inlineStr">
        <is>
          <t>Parlay/multi-leg</t>
        </is>
      </c>
      <c r="AC357" s="5">
        <f>IF(ISNUMBER(V357),Q357,"")</f>
        <v/>
      </c>
      <c r="AD357">
        <f>IF(ISNUMBER(W357),R357,"")</f>
        <v/>
      </c>
    </row>
    <row r="358">
      <c r="A358" t="inlineStr">
        <is>
          <t>T-347633a</t>
        </is>
      </c>
      <c r="B358" t="inlineStr">
        <is>
          <t>Trent</t>
        </is>
      </c>
      <c r="C358" s="2" t="n">
        <v>46291.37377314815</v>
      </c>
      <c r="D358">
        <f>IF(C358="","",TEXT(C358,"dddd"))</f>
        <v/>
      </c>
      <c r="E358" s="3" t="n">
        <v>46291</v>
      </c>
      <c r="F358">
        <f>IF(E358="","",TEXT(E358,"dddd"))</f>
        <v/>
      </c>
      <c r="G358" t="inlineStr">
        <is>
          <t>12:00 PM</t>
        </is>
      </c>
      <c r="H358" t="inlineStr">
        <is>
          <t>N</t>
        </is>
      </c>
      <c r="I358" t="inlineStr"/>
      <c r="J358" t="inlineStr">
        <is>
          <t>CFB</t>
        </is>
      </c>
      <c r="K358" t="inlineStr">
        <is>
          <t>NCAAF</t>
        </is>
      </c>
      <c r="L358" t="inlineStr">
        <is>
          <t>spread</t>
        </is>
      </c>
      <c r="M358" t="inlineStr">
        <is>
          <t>Texas -4.5 vs Tennessee</t>
        </is>
      </c>
      <c r="N358" t="n">
        <v>1</v>
      </c>
      <c r="O358" t="inlineStr">
        <is>
          <t>not shown</t>
        </is>
      </c>
      <c r="P358" s="4" t="inlineStr"/>
      <c r="Q358" s="5" t="inlineStr"/>
      <c r="R358" t="n">
        <v>5</v>
      </c>
      <c r="S358" s="5" t="inlineStr"/>
      <c r="T358" t="inlineStr">
        <is>
          <t>not shown</t>
        </is>
      </c>
      <c r="U358" t="inlineStr">
        <is>
          <t>L</t>
        </is>
      </c>
      <c r="V358" s="5">
        <f>IF(NOT(ISNUMBER(Q358)),"",IF(U358="W",IF(ISNUMBER(S358),S358-Q358,IF(ISNUMBER(P358),Q358*(P358-1),"")),IF(U358="L",-Q358,IF(U358="Push",0,""))))</f>
        <v/>
      </c>
      <c r="W358">
        <f>IF(NOT(ISNUMBER(R358)),"",IF(U358="W",IF(ISNUMBER(P358),R358*(P358-1),""),IF(U358="L",-R358,IF(U358="Push",0,""))))</f>
        <v/>
      </c>
      <c r="X358" t="inlineStr">
        <is>
          <t>graded from final</t>
        </is>
      </c>
      <c r="Y358" t="inlineStr">
        <is>
          <t>N</t>
        </is>
      </c>
      <c r="Z358" t="inlineStr">
        <is>
          <t>https://x.com/BookitWithTrent/status/2103846611386347633</t>
        </is>
      </c>
      <c r="AA358" t="inlineStr">
        <is>
          <t>"OFFICIAL COLLEGE FOOTBALL MEGAS" 5u</t>
        </is>
      </c>
      <c r="AB358" t="inlineStr">
        <is>
          <t>Single</t>
        </is>
      </c>
      <c r="AC358" s="5">
        <f>IF(ISNUMBER(V358),Q358,"")</f>
        <v/>
      </c>
      <c r="AD358">
        <f>IF(ISNUMBER(W358),R358,"")</f>
        <v/>
      </c>
    </row>
    <row r="359">
      <c r="A359" t="inlineStr">
        <is>
          <t>T-347633b</t>
        </is>
      </c>
      <c r="B359" t="inlineStr">
        <is>
          <t>Trent</t>
        </is>
      </c>
      <c r="C359" s="2" t="n">
        <v>46291.37377314815</v>
      </c>
      <c r="D359">
        <f>IF(C359="","",TEXT(C359,"dddd"))</f>
        <v/>
      </c>
      <c r="E359" s="3" t="n">
        <v>46291</v>
      </c>
      <c r="F359">
        <f>IF(E359="","",TEXT(E359,"dddd"))</f>
        <v/>
      </c>
      <c r="G359" t="inlineStr">
        <is>
          <t>3:30 PM</t>
        </is>
      </c>
      <c r="H359" t="inlineStr">
        <is>
          <t>N</t>
        </is>
      </c>
      <c r="I359" t="inlineStr"/>
      <c r="J359" t="inlineStr">
        <is>
          <t>CFB</t>
        </is>
      </c>
      <c r="K359" t="inlineStr">
        <is>
          <t>NCAAF</t>
        </is>
      </c>
      <c r="L359" t="inlineStr">
        <is>
          <t>spread</t>
        </is>
      </c>
      <c r="M359" t="inlineStr">
        <is>
          <t>Florida -3.5 vs Ole Miss</t>
        </is>
      </c>
      <c r="N359" t="n">
        <v>1</v>
      </c>
      <c r="O359" t="inlineStr">
        <is>
          <t>not shown</t>
        </is>
      </c>
      <c r="P359" s="4" t="inlineStr"/>
      <c r="Q359" s="5" t="inlineStr"/>
      <c r="R359" t="n">
        <v>5</v>
      </c>
      <c r="S359" s="5" t="inlineStr"/>
      <c r="T359" t="inlineStr">
        <is>
          <t>not shown</t>
        </is>
      </c>
      <c r="U359" t="inlineStr">
        <is>
          <t>W</t>
        </is>
      </c>
      <c r="V359" s="5">
        <f>IF(NOT(ISNUMBER(Q359)),"",IF(U359="W",IF(ISNUMBER(S359),S359-Q359,IF(ISNUMBER(P359),Q359*(P359-1),"")),IF(U359="L",-Q359,IF(U359="Push",0,""))))</f>
        <v/>
      </c>
      <c r="W359">
        <f>IF(NOT(ISNUMBER(R359)),"",IF(U359="W",IF(ISNUMBER(P359),R359*(P359-1),""),IF(U359="L",-R359,IF(U359="Push",0,""))))</f>
        <v/>
      </c>
      <c r="X359" t="inlineStr">
        <is>
          <t>graded from final</t>
        </is>
      </c>
      <c r="Y359" t="inlineStr">
        <is>
          <t>N</t>
        </is>
      </c>
      <c r="Z359" t="inlineStr">
        <is>
          <t>https://x.com/BookitWithTrent/status/2103846611386347633</t>
        </is>
      </c>
      <c r="AA359" t="inlineStr">
        <is>
          <t>"OFFICIAL COLLEGE FOOTBALL MEGAS" 5u</t>
        </is>
      </c>
      <c r="AB359" t="inlineStr">
        <is>
          <t>Single</t>
        </is>
      </c>
      <c r="AC359" s="5">
        <f>IF(ISNUMBER(V359),Q359,"")</f>
        <v/>
      </c>
      <c r="AD359">
        <f>IF(ISNUMBER(W359),R359,"")</f>
        <v/>
      </c>
    </row>
    <row r="360">
      <c r="A360" t="inlineStr">
        <is>
          <t>T-347633c</t>
        </is>
      </c>
      <c r="B360" t="inlineStr">
        <is>
          <t>Trent</t>
        </is>
      </c>
      <c r="C360" s="2" t="n">
        <v>46291.37377314815</v>
      </c>
      <c r="D360">
        <f>IF(C360="","",TEXT(C360,"dddd"))</f>
        <v/>
      </c>
      <c r="E360" s="3" t="n">
        <v>46291</v>
      </c>
      <c r="F360">
        <f>IF(E360="","",TEXT(E360,"dddd"))</f>
        <v/>
      </c>
      <c r="G360" t="inlineStr">
        <is>
          <t>7:30 PM</t>
        </is>
      </c>
      <c r="H360" t="inlineStr">
        <is>
          <t>Y</t>
        </is>
      </c>
      <c r="I360" t="inlineStr">
        <is>
          <t>CFB Saturday night</t>
        </is>
      </c>
      <c r="J360" t="inlineStr">
        <is>
          <t>CFB</t>
        </is>
      </c>
      <c r="K360" t="inlineStr">
        <is>
          <t>NCAAF</t>
        </is>
      </c>
      <c r="L360" t="inlineStr">
        <is>
          <t>spread</t>
        </is>
      </c>
      <c r="M360" t="inlineStr">
        <is>
          <t>Oregon -3.5 vs USC</t>
        </is>
      </c>
      <c r="N360" t="n">
        <v>1</v>
      </c>
      <c r="O360" t="inlineStr">
        <is>
          <t>not shown</t>
        </is>
      </c>
      <c r="P360" s="4" t="inlineStr"/>
      <c r="Q360" s="5" t="inlineStr"/>
      <c r="R360" t="n">
        <v>5</v>
      </c>
      <c r="S360" s="5" t="inlineStr"/>
      <c r="T360" t="inlineStr">
        <is>
          <t>not shown</t>
        </is>
      </c>
      <c r="U360" t="inlineStr">
        <is>
          <t>W</t>
        </is>
      </c>
      <c r="V360" s="5">
        <f>IF(NOT(ISNUMBER(Q360)),"",IF(U360="W",IF(ISNUMBER(S360),S360-Q360,IF(ISNUMBER(P360),Q360*(P360-1),"")),IF(U360="L",-Q360,IF(U360="Push",0,""))))</f>
        <v/>
      </c>
      <c r="W360">
        <f>IF(NOT(ISNUMBER(R360)),"",IF(U360="W",IF(ISNUMBER(P360),R360*(P360-1),""),IF(U360="L",-R360,IF(U360="Push",0,""))))</f>
        <v/>
      </c>
      <c r="X360" t="inlineStr">
        <is>
          <t>graded from final</t>
        </is>
      </c>
      <c r="Y360" t="inlineStr">
        <is>
          <t>N</t>
        </is>
      </c>
      <c r="Z360" t="inlineStr">
        <is>
          <t>https://x.com/BookitWithTrent/status/2103846611386347633</t>
        </is>
      </c>
      <c r="AA360" t="inlineStr">
        <is>
          <t>"OFFICIAL COLLEGE FOOTBALL MEGAS" 5u</t>
        </is>
      </c>
      <c r="AB360" t="inlineStr">
        <is>
          <t>Single</t>
        </is>
      </c>
      <c r="AC360" s="5">
        <f>IF(ISNUMBER(V360),Q360,"")</f>
        <v/>
      </c>
      <c r="AD360">
        <f>IF(ISNUMBER(W360),R360,"")</f>
        <v/>
      </c>
    </row>
    <row r="361">
      <c r="A361" t="inlineStr">
        <is>
          <t>T-347633d</t>
        </is>
      </c>
      <c r="B361" t="inlineStr">
        <is>
          <t>Trent</t>
        </is>
      </c>
      <c r="C361" s="2" t="n">
        <v>46291.37377314815</v>
      </c>
      <c r="D361">
        <f>IF(C361="","",TEXT(C361,"dddd"))</f>
        <v/>
      </c>
      <c r="E361" s="3" t="n">
        <v>46291</v>
      </c>
      <c r="F361">
        <f>IF(E361="","",TEXT(E361,"dddd"))</f>
        <v/>
      </c>
      <c r="G361" t="inlineStr">
        <is>
          <t>12:00 PM</t>
        </is>
      </c>
      <c r="H361" t="inlineStr">
        <is>
          <t>N</t>
        </is>
      </c>
      <c r="I361" t="inlineStr"/>
      <c r="J361" t="inlineStr">
        <is>
          <t>CFB</t>
        </is>
      </c>
      <c r="K361" t="inlineStr">
        <is>
          <t>NCAAF</t>
        </is>
      </c>
      <c r="L361" t="inlineStr">
        <is>
          <t>spread</t>
        </is>
      </c>
      <c r="M361" t="inlineStr">
        <is>
          <t>Baylor -9.5 vs Colorado</t>
        </is>
      </c>
      <c r="N361" t="n">
        <v>1</v>
      </c>
      <c r="O361" t="inlineStr">
        <is>
          <t>not shown</t>
        </is>
      </c>
      <c r="P361" s="4" t="inlineStr"/>
      <c r="Q361" s="5" t="inlineStr"/>
      <c r="R361" t="inlineStr"/>
      <c r="S361" s="5" t="inlineStr"/>
      <c r="T361" t="inlineStr">
        <is>
          <t>not shown</t>
        </is>
      </c>
      <c r="U361" t="inlineStr">
        <is>
          <t>W</t>
        </is>
      </c>
      <c r="V361" s="5">
        <f>IF(NOT(ISNUMBER(Q361)),"",IF(U361="W",IF(ISNUMBER(S361),S361-Q361,IF(ISNUMBER(P361),Q361*(P361-1),"")),IF(U361="L",-Q361,IF(U361="Push",0,""))))</f>
        <v/>
      </c>
      <c r="W361">
        <f>IF(NOT(ISNUMBER(R361)),"",IF(U361="W",IF(ISNUMBER(P361),R361*(P361-1),""),IF(U361="L",-R361,IF(U361="Push",0,""))))</f>
        <v/>
      </c>
      <c r="X361" t="inlineStr">
        <is>
          <t>graded from final</t>
        </is>
      </c>
      <c r="Y361" t="inlineStr">
        <is>
          <t>N</t>
        </is>
      </c>
      <c r="Z361" t="inlineStr">
        <is>
          <t>https://x.com/BookitWithTrent/status/2103846611386347633</t>
        </is>
      </c>
      <c r="AA361" t="inlineStr">
        <is>
          <t>CFB megas; units not stated</t>
        </is>
      </c>
      <c r="AB361" t="inlineStr">
        <is>
          <t>Single</t>
        </is>
      </c>
      <c r="AC361" s="5">
        <f>IF(ISNUMBER(V361),Q361,"")</f>
        <v/>
      </c>
      <c r="AD361">
        <f>IF(ISNUMBER(W361),R361,"")</f>
        <v/>
      </c>
    </row>
    <row r="362">
      <c r="A362" t="inlineStr">
        <is>
          <t>T-347633e</t>
        </is>
      </c>
      <c r="B362" t="inlineStr">
        <is>
          <t>Trent</t>
        </is>
      </c>
      <c r="C362" s="2" t="n">
        <v>46291.37377314815</v>
      </c>
      <c r="D362">
        <f>IF(C362="","",TEXT(C362,"dddd"))</f>
        <v/>
      </c>
      <c r="E362" s="3" t="n">
        <v>46291</v>
      </c>
      <c r="F362">
        <f>IF(E362="","",TEXT(E362,"dddd"))</f>
        <v/>
      </c>
      <c r="G362" t="inlineStr">
        <is>
          <t>3:30 PM</t>
        </is>
      </c>
      <c r="H362" t="inlineStr">
        <is>
          <t>N</t>
        </is>
      </c>
      <c r="I362" t="inlineStr"/>
      <c r="J362" t="inlineStr">
        <is>
          <t>CFB</t>
        </is>
      </c>
      <c r="K362" t="inlineStr">
        <is>
          <t>NCAAF</t>
        </is>
      </c>
      <c r="L362" t="inlineStr">
        <is>
          <t>spread</t>
        </is>
      </c>
      <c r="M362" t="inlineStr">
        <is>
          <t>TCU -3.5 vs UCF</t>
        </is>
      </c>
      <c r="N362" t="n">
        <v>1</v>
      </c>
      <c r="O362" t="inlineStr">
        <is>
          <t>not shown</t>
        </is>
      </c>
      <c r="P362" s="4" t="inlineStr"/>
      <c r="Q362" s="5" t="inlineStr"/>
      <c r="R362" t="inlineStr"/>
      <c r="S362" s="5" t="inlineStr"/>
      <c r="T362" t="inlineStr">
        <is>
          <t>not shown</t>
        </is>
      </c>
      <c r="U362" t="inlineStr">
        <is>
          <t>L</t>
        </is>
      </c>
      <c r="V362" s="5">
        <f>IF(NOT(ISNUMBER(Q362)),"",IF(U362="W",IF(ISNUMBER(S362),S362-Q362,IF(ISNUMBER(P362),Q362*(P362-1),"")),IF(U362="L",-Q362,IF(U362="Push",0,""))))</f>
        <v/>
      </c>
      <c r="W362">
        <f>IF(NOT(ISNUMBER(R362)),"",IF(U362="W",IF(ISNUMBER(P362),R362*(P362-1),""),IF(U362="L",-R362,IF(U362="Push",0,""))))</f>
        <v/>
      </c>
      <c r="X362" t="inlineStr">
        <is>
          <t>graded from final</t>
        </is>
      </c>
      <c r="Y362" t="inlineStr">
        <is>
          <t>N</t>
        </is>
      </c>
      <c r="Z362" t="inlineStr">
        <is>
          <t>https://x.com/BookitWithTrent/status/2103846611386347633</t>
        </is>
      </c>
      <c r="AA362" t="inlineStr">
        <is>
          <t>CFB megas; units not stated</t>
        </is>
      </c>
      <c r="AB362" t="inlineStr">
        <is>
          <t>Single</t>
        </is>
      </c>
      <c r="AC362" s="5">
        <f>IF(ISNUMBER(V362),Q362,"")</f>
        <v/>
      </c>
      <c r="AD362">
        <f>IF(ISNUMBER(W362),R362,"")</f>
        <v/>
      </c>
    </row>
    <row r="363">
      <c r="A363" t="inlineStr">
        <is>
          <t>T-347633f</t>
        </is>
      </c>
      <c r="B363" t="inlineStr">
        <is>
          <t>Trent</t>
        </is>
      </c>
      <c r="C363" s="2" t="n">
        <v>46291.37377314815</v>
      </c>
      <c r="D363">
        <f>IF(C363="","",TEXT(C363,"dddd"))</f>
        <v/>
      </c>
      <c r="E363" s="3" t="n">
        <v>46291</v>
      </c>
      <c r="F363">
        <f>IF(E363="","",TEXT(E363,"dddd"))</f>
        <v/>
      </c>
      <c r="G363" t="inlineStr">
        <is>
          <t>7:45 PM</t>
        </is>
      </c>
      <c r="H363" t="inlineStr">
        <is>
          <t>Y</t>
        </is>
      </c>
      <c r="I363" t="inlineStr">
        <is>
          <t>CFB Saturday night</t>
        </is>
      </c>
      <c r="J363" t="inlineStr">
        <is>
          <t>CFB</t>
        </is>
      </c>
      <c r="K363" t="inlineStr">
        <is>
          <t>NCAAF</t>
        </is>
      </c>
      <c r="L363" t="inlineStr">
        <is>
          <t>spread</t>
        </is>
      </c>
      <c r="M363" t="inlineStr">
        <is>
          <t>Mississippi State -6.5 vs Missouri</t>
        </is>
      </c>
      <c r="N363" t="n">
        <v>1</v>
      </c>
      <c r="O363" t="inlineStr">
        <is>
          <t>not shown</t>
        </is>
      </c>
      <c r="P363" s="4" t="inlineStr"/>
      <c r="Q363" s="5" t="inlineStr"/>
      <c r="R363" t="inlineStr"/>
      <c r="S363" s="5" t="inlineStr"/>
      <c r="T363" t="inlineStr">
        <is>
          <t>not shown</t>
        </is>
      </c>
      <c r="U363" t="inlineStr">
        <is>
          <t>W</t>
        </is>
      </c>
      <c r="V363" s="5">
        <f>IF(NOT(ISNUMBER(Q363)),"",IF(U363="W",IF(ISNUMBER(S363),S363-Q363,IF(ISNUMBER(P363),Q363*(P363-1),"")),IF(U363="L",-Q363,IF(U363="Push",0,""))))</f>
        <v/>
      </c>
      <c r="W363">
        <f>IF(NOT(ISNUMBER(R363)),"",IF(U363="W",IF(ISNUMBER(P363),R363*(P363-1),""),IF(U363="L",-R363,IF(U363="Push",0,""))))</f>
        <v/>
      </c>
      <c r="X363" t="inlineStr">
        <is>
          <t>graded from final</t>
        </is>
      </c>
      <c r="Y363" t="inlineStr">
        <is>
          <t>N</t>
        </is>
      </c>
      <c r="Z363" t="inlineStr">
        <is>
          <t>https://x.com/BookitWithTrent/status/2103846611386347633</t>
        </is>
      </c>
      <c r="AA363" t="inlineStr">
        <is>
          <t>CFB megas (corrected to Mississippi State in 816845); units not stated</t>
        </is>
      </c>
      <c r="AB363" t="inlineStr">
        <is>
          <t>Single</t>
        </is>
      </c>
      <c r="AC363" s="5">
        <f>IF(ISNUMBER(V363),Q363,"")</f>
        <v/>
      </c>
      <c r="AD363">
        <f>IF(ISNUMBER(W363),R363,"")</f>
        <v/>
      </c>
    </row>
    <row r="364">
      <c r="A364" t="inlineStr">
        <is>
          <t>T-369242</t>
        </is>
      </c>
      <c r="B364" t="inlineStr">
        <is>
          <t>Trent</t>
        </is>
      </c>
      <c r="C364" s="2" t="n">
        <v>46291.37748842593</v>
      </c>
      <c r="D364">
        <f>IF(C364="","",TEXT(C364,"dddd"))</f>
        <v/>
      </c>
      <c r="E364" s="3" t="n">
        <v>46291</v>
      </c>
      <c r="F364">
        <f>IF(E364="","",TEXT(E364,"dddd"))</f>
        <v/>
      </c>
      <c r="G364" t="inlineStr">
        <is>
          <t>7:45 PM</t>
        </is>
      </c>
      <c r="H364" t="inlineStr">
        <is>
          <t>N</t>
        </is>
      </c>
      <c r="I364" t="inlineStr"/>
      <c r="J364" t="inlineStr">
        <is>
          <t>CFB</t>
        </is>
      </c>
      <c r="K364" t="inlineStr">
        <is>
          <t>NCAAF</t>
        </is>
      </c>
      <c r="L364" t="inlineStr">
        <is>
          <t>PrizePicks/DFS</t>
        </is>
      </c>
      <c r="M364" t="inlineStr">
        <is>
          <t>Texas win vs Tennessee; TCU win vs UCF; Mississippi State win vs Missouri; Florida win vs Ole Miss; Oregon win vs USC; Baylor win vs Colorado</t>
        </is>
      </c>
      <c r="N364" t="n">
        <v>6</v>
      </c>
      <c r="O364" t="inlineStr">
        <is>
          <t>+953</t>
        </is>
      </c>
      <c r="P364" s="4" t="n">
        <v>10.53</v>
      </c>
      <c r="Q364" s="5" t="n">
        <v>999.97</v>
      </c>
      <c r="R364" t="inlineStr"/>
      <c r="S364" s="5" t="n">
        <v>10526</v>
      </c>
      <c r="T364" t="inlineStr">
        <is>
          <t>PrizePicks</t>
        </is>
      </c>
      <c r="U364" t="inlineStr">
        <is>
          <t>L</t>
        </is>
      </c>
      <c r="V364" s="5">
        <f>IF(NOT(ISNUMBER(Q364)),"",IF(U364="W",IF(ISNUMBER(S364),S364-Q364,IF(ISNUMBER(P364),Q364*(P364-1),"")),IF(U364="L",-Q364,IF(U364="Push",0,""))))</f>
        <v/>
      </c>
      <c r="W364">
        <f>IF(NOT(ISNUMBER(R364)),"",IF(U364="W",IF(ISNUMBER(P364),R364*(P364-1),""),IF(U364="L",-R364,IF(U364="Push",0,""))))</f>
        <v/>
      </c>
      <c r="X364" t="inlineStr">
        <is>
          <t>graded from final</t>
        </is>
      </c>
      <c r="Y364" t="inlineStr">
        <is>
          <t>N</t>
        </is>
      </c>
      <c r="Z364" t="inlineStr">
        <is>
          <t>https://x.com/BookitWithTrent/status/2103847957439369242</t>
        </is>
      </c>
      <c r="AA364" t="inlineStr">
        <is>
          <t>"CFB SURGICAL SIX"</t>
        </is>
      </c>
      <c r="AB364" t="inlineStr">
        <is>
          <t>Parlay/multi-leg</t>
        </is>
      </c>
      <c r="AC364" s="5">
        <f>IF(ISNUMBER(V364),Q364,"")</f>
        <v/>
      </c>
      <c r="AD364">
        <f>IF(ISNUMBER(W364),R364,"")</f>
        <v/>
      </c>
    </row>
    <row r="365">
      <c r="A365" t="inlineStr">
        <is>
          <t>S-804132</t>
        </is>
      </c>
      <c r="B365" t="inlineStr">
        <is>
          <t>Steve</t>
        </is>
      </c>
      <c r="C365" s="2" t="n">
        <v>46291.670625</v>
      </c>
      <c r="D365">
        <f>IF(C365="","",TEXT(C365,"dddd"))</f>
        <v/>
      </c>
      <c r="E365" s="3" t="n">
        <v>46291</v>
      </c>
      <c r="F365">
        <f>IF(E365="","",TEXT(E365,"dddd"))</f>
        <v/>
      </c>
      <c r="G365" t="inlineStr">
        <is>
          <t>7:15 PM</t>
        </is>
      </c>
      <c r="H365" t="inlineStr">
        <is>
          <t>N</t>
        </is>
      </c>
      <c r="I365" t="inlineStr"/>
      <c r="J365" t="inlineStr">
        <is>
          <t>MLB</t>
        </is>
      </c>
      <c r="K365" t="inlineStr">
        <is>
          <t>MLB</t>
        </is>
      </c>
      <c r="L365" t="inlineStr">
        <is>
          <t>ML</t>
        </is>
      </c>
      <c r="M365" t="inlineStr">
        <is>
          <t>Philadelphia Phillies ML vs Tampa Bay Rays</t>
        </is>
      </c>
      <c r="N365" t="n">
        <v>1</v>
      </c>
      <c r="O365" t="inlineStr">
        <is>
          <t>-125</t>
        </is>
      </c>
      <c r="P365" s="4" t="n">
        <v>1.8</v>
      </c>
      <c r="Q365" s="5" t="n">
        <v>100000</v>
      </c>
      <c r="R365" t="inlineStr"/>
      <c r="S365" s="5" t="n">
        <v>180000</v>
      </c>
      <c r="T365" t="inlineStr">
        <is>
          <t>Gamdom</t>
        </is>
      </c>
      <c r="U365" t="inlineStr">
        <is>
          <t>L</t>
        </is>
      </c>
      <c r="V365" s="5">
        <f>IF(NOT(ISNUMBER(Q365)),"",IF(U365="W",IF(ISNUMBER(S365),S365-Q365,IF(ISNUMBER(P365),Q365*(P365-1),"")),IF(U365="L",-Q365,IF(U365="Push",0,""))))</f>
        <v/>
      </c>
      <c r="W365">
        <f>IF(NOT(ISNUMBER(R365)),"",IF(U365="W",IF(ISNUMBER(P365),R365*(P365-1),""),IF(U365="L",-R365,IF(U365="Push",0,""))))</f>
        <v/>
      </c>
      <c r="X365" t="inlineStr">
        <is>
          <t>graded from final</t>
        </is>
      </c>
      <c r="Y365" t="inlineStr">
        <is>
          <t>Y - tags Gamdom</t>
        </is>
      </c>
      <c r="Z365" t="inlineStr">
        <is>
          <t>https://x.com/stevewilldoit/status/2103954187511804132</t>
        </is>
      </c>
      <c r="AA365" t="inlineStr">
        <is>
          <t>6ix9ine "8 hour old kid says Phillies"</t>
        </is>
      </c>
      <c r="AB365" t="inlineStr">
        <is>
          <t>Single</t>
        </is>
      </c>
      <c r="AC365" s="5">
        <f>IF(ISNUMBER(V365),Q365,"")</f>
        <v/>
      </c>
      <c r="AD365">
        <f>IF(ISNUMBER(W365),R365,"")</f>
        <v/>
      </c>
    </row>
    <row r="366">
      <c r="A366" t="inlineStr">
        <is>
          <t>S-382312</t>
        </is>
      </c>
      <c r="B366" t="inlineStr">
        <is>
          <t>Steve</t>
        </is>
      </c>
      <c r="C366" s="2" t="n">
        <v>46291.69820601852</v>
      </c>
      <c r="D366">
        <f>IF(C366="","",TEXT(C366,"dddd"))</f>
        <v/>
      </c>
      <c r="E366" s="3" t="n">
        <v>46291</v>
      </c>
      <c r="F366">
        <f>IF(E366="","",TEXT(E366,"dddd"))</f>
        <v/>
      </c>
      <c r="G366" t="inlineStr">
        <is>
          <t>not matched</t>
        </is>
      </c>
      <c r="H366" t="inlineStr">
        <is>
          <t>N</t>
        </is>
      </c>
      <c r="I366" t="inlineStr"/>
      <c r="J366" t="inlineStr">
        <is>
          <t>Other</t>
        </is>
      </c>
      <c r="K366" t="inlineStr">
        <is>
          <t>UFC Fight Night</t>
        </is>
      </c>
      <c r="L366" t="inlineStr">
        <is>
          <t>parlay</t>
        </is>
      </c>
      <c r="M366" t="inlineStr">
        <is>
          <t>Raul Rosas Jr ML vs Raoni Barcelos; Rodolfo Bellato ML vs Christian Edwards; additional leg(s) not shown (odds 5.42 exceed shown legs)</t>
        </is>
      </c>
      <c r="N366" t="n">
        <v>3</v>
      </c>
      <c r="O366" t="inlineStr">
        <is>
          <t>+442</t>
        </is>
      </c>
      <c r="P366" s="4" t="n">
        <v>5.42</v>
      </c>
      <c r="Q366" s="5" t="n">
        <v>50000</v>
      </c>
      <c r="R366" t="inlineStr"/>
      <c r="S366" s="5" t="n">
        <v>271000</v>
      </c>
      <c r="T366" t="inlineStr">
        <is>
          <t>Gamdom</t>
        </is>
      </c>
      <c r="U366" t="inlineStr">
        <is>
          <t>L</t>
        </is>
      </c>
      <c r="V366" s="5">
        <f>IF(NOT(ISNUMBER(Q366)),"",IF(U366="W",IF(ISNUMBER(S366),S366-Q366,IF(ISNUMBER(P366),Q366*(P366-1),"")),IF(U366="L",-Q366,IF(U366="Push",0,""))))</f>
        <v/>
      </c>
      <c r="W366">
        <f>IF(NOT(ISNUMBER(R366)),"",IF(U366="W",IF(ISNUMBER(P366),R366*(P366-1),""),IF(U366="L",-R366,IF(U366="Push",0,""))))</f>
        <v/>
      </c>
      <c r="X366" t="inlineStr">
        <is>
          <t>graded from final</t>
        </is>
      </c>
      <c r="Y366" t="inlineStr">
        <is>
          <t>Y - tags Gamdom</t>
        </is>
      </c>
      <c r="Z366" t="inlineStr">
        <is>
          <t>https://x.com/stevewilldoit/status/2103964183721382312</t>
        </is>
      </c>
      <c r="AA366" t="inlineStr">
        <is>
          <t>UFC Fight Night Rosas Jr vs Barcelos; leg count uncertain; Final: Bellato lost to Edwards</t>
        </is>
      </c>
      <c r="AB366" t="inlineStr">
        <is>
          <t>Parlay/multi-leg</t>
        </is>
      </c>
      <c r="AC366" s="5">
        <f>IF(ISNUMBER(V366),Q366,"")</f>
        <v/>
      </c>
      <c r="AD366">
        <f>IF(ISNUMBER(W366),R366,"")</f>
        <v/>
      </c>
    </row>
    <row r="367">
      <c r="A367" t="inlineStr">
        <is>
          <t>S-363462</t>
        </is>
      </c>
      <c r="B367" t="inlineStr">
        <is>
          <t>Steve</t>
        </is>
      </c>
      <c r="C367" s="2" t="n">
        <v>46291.70032407407</v>
      </c>
      <c r="D367">
        <f>IF(C367="","",TEXT(C367,"dddd"))</f>
        <v/>
      </c>
      <c r="E367" s="3" t="n">
        <v>46291</v>
      </c>
      <c r="F367">
        <f>IF(E367="","",TEXT(E367,"dddd"))</f>
        <v/>
      </c>
      <c r="G367" t="inlineStr">
        <is>
          <t>4:10 PM</t>
        </is>
      </c>
      <c r="H367" t="inlineStr">
        <is>
          <t>N</t>
        </is>
      </c>
      <c r="I367" t="inlineStr"/>
      <c r="J367" t="inlineStr">
        <is>
          <t>MLB</t>
        </is>
      </c>
      <c r="K367" t="inlineStr">
        <is>
          <t>MLB</t>
        </is>
      </c>
      <c r="L367" t="inlineStr">
        <is>
          <t>ML</t>
        </is>
      </c>
      <c r="M367" t="inlineStr">
        <is>
          <t>Minnesota Twins ML vs Texas Rangers</t>
        </is>
      </c>
      <c r="N367" t="n">
        <v>1</v>
      </c>
      <c r="O367" t="inlineStr">
        <is>
          <t>+108</t>
        </is>
      </c>
      <c r="P367" s="4" t="n">
        <v>2.08</v>
      </c>
      <c r="Q367" s="5" t="n">
        <v>45000</v>
      </c>
      <c r="R367" t="inlineStr"/>
      <c r="S367" s="5" t="n">
        <v>93600</v>
      </c>
      <c r="T367" t="inlineStr">
        <is>
          <t>Gamdom</t>
        </is>
      </c>
      <c r="U367" t="inlineStr">
        <is>
          <t>L</t>
        </is>
      </c>
      <c r="V367" s="5">
        <f>IF(NOT(ISNUMBER(Q367)),"",IF(U367="W",IF(ISNUMBER(S367),S367-Q367,IF(ISNUMBER(P367),Q367*(P367-1),"")),IF(U367="L",-Q367,IF(U367="Push",0,""))))</f>
        <v/>
      </c>
      <c r="W367">
        <f>IF(NOT(ISNUMBER(R367)),"",IF(U367="W",IF(ISNUMBER(P367),R367*(P367-1),""),IF(U367="L",-R367,IF(U367="Push",0,""))))</f>
        <v/>
      </c>
      <c r="X367" t="inlineStr">
        <is>
          <t>graded from final</t>
        </is>
      </c>
      <c r="Y367" t="inlineStr">
        <is>
          <t>Y - tags Gamdom</t>
        </is>
      </c>
      <c r="Z367" t="inlineStr">
        <is>
          <t>https://x.com/stevewilldoit/status/2103964950687363462</t>
        </is>
      </c>
      <c r="AA367" t="inlineStr">
        <is>
          <t>"Mexican Steve" pick</t>
        </is>
      </c>
      <c r="AB367" t="inlineStr">
        <is>
          <t>Single</t>
        </is>
      </c>
      <c r="AC367" s="5">
        <f>IF(ISNUMBER(V367),Q367,"")</f>
        <v/>
      </c>
      <c r="AD367">
        <f>IF(ISNUMBER(W367),R367,"")</f>
        <v/>
      </c>
    </row>
    <row r="368">
      <c r="A368" t="inlineStr">
        <is>
          <t>S-495797</t>
        </is>
      </c>
      <c r="B368" t="inlineStr">
        <is>
          <t>Steve</t>
        </is>
      </c>
      <c r="C368" s="2" t="n">
        <v>46291.70143518518</v>
      </c>
      <c r="D368">
        <f>IF(C368="","",TEXT(C368,"dddd"))</f>
        <v/>
      </c>
      <c r="E368" s="3" t="n">
        <v>46291</v>
      </c>
      <c r="F368">
        <f>IF(E368="","",TEXT(E368,"dddd"))</f>
        <v/>
      </c>
      <c r="G368" t="inlineStr">
        <is>
          <t>not matched</t>
        </is>
      </c>
      <c r="H368" t="inlineStr">
        <is>
          <t>N</t>
        </is>
      </c>
      <c r="I368" t="inlineStr"/>
      <c r="J368" t="inlineStr">
        <is>
          <t>Other</t>
        </is>
      </c>
      <c r="K368" t="inlineStr">
        <is>
          <t>UFC Fight Night</t>
        </is>
      </c>
      <c r="L368" t="inlineStr">
        <is>
          <t>ML</t>
        </is>
      </c>
      <c r="M368" t="inlineStr">
        <is>
          <t>Ailin Perez ML vs Norma Dumont</t>
        </is>
      </c>
      <c r="N368" t="n">
        <v>1</v>
      </c>
      <c r="O368" t="inlineStr">
        <is>
          <t>-179</t>
        </is>
      </c>
      <c r="P368" s="4" t="n">
        <v>1.5587</v>
      </c>
      <c r="Q368" s="5" t="n">
        <v>75000</v>
      </c>
      <c r="R368" t="inlineStr"/>
      <c r="S368" s="5" t="n">
        <v>117000</v>
      </c>
      <c r="T368" t="inlineStr">
        <is>
          <t>Gamdom</t>
        </is>
      </c>
      <c r="U368" t="inlineStr">
        <is>
          <t>W</t>
        </is>
      </c>
      <c r="V368" s="5">
        <f>IF(NOT(ISNUMBER(Q368)),"",IF(U368="W",IF(ISNUMBER(S368),S368-Q368,IF(ISNUMBER(P368),Q368*(P368-1),"")),IF(U368="L",-Q368,IF(U368="Push",0,""))))</f>
        <v/>
      </c>
      <c r="W368">
        <f>IF(NOT(ISNUMBER(R368)),"",IF(U368="W",IF(ISNUMBER(P368),R368*(P368-1),""),IF(U368="L",-R368,IF(U368="Push",0,""))))</f>
        <v/>
      </c>
      <c r="X368" t="inlineStr">
        <is>
          <t>graded from final</t>
        </is>
      </c>
      <c r="Y368" t="inlineStr">
        <is>
          <t>Y - tags Gamdom</t>
        </is>
      </c>
      <c r="Z368" t="inlineStr">
        <is>
          <t>https://x.com/stevewilldoit/status/2103965352967495797</t>
        </is>
      </c>
      <c r="AA368" t="inlineStr">
        <is>
          <t>Final: Perez def. Dumont</t>
        </is>
      </c>
      <c r="AB368" t="inlineStr">
        <is>
          <t>Single</t>
        </is>
      </c>
      <c r="AC368" s="5">
        <f>IF(ISNUMBER(V368),Q368,"")</f>
        <v/>
      </c>
      <c r="AD368">
        <f>IF(ISNUMBER(W368),R368,"")</f>
        <v/>
      </c>
    </row>
    <row r="369">
      <c r="A369" t="inlineStr">
        <is>
          <t>S-495797b</t>
        </is>
      </c>
      <c r="B369" t="inlineStr">
        <is>
          <t>Steve</t>
        </is>
      </c>
      <c r="C369" s="2" t="n">
        <v>46291.70143518518</v>
      </c>
      <c r="D369">
        <f>IF(C369="","",TEXT(C369,"dddd"))</f>
        <v/>
      </c>
      <c r="E369" s="3" t="n">
        <v>46291</v>
      </c>
      <c r="F369">
        <f>IF(E369="","",TEXT(E369,"dddd"))</f>
        <v/>
      </c>
      <c r="G369" t="inlineStr">
        <is>
          <t>not matched</t>
        </is>
      </c>
      <c r="H369" t="inlineStr">
        <is>
          <t>N</t>
        </is>
      </c>
      <c r="I369" t="inlineStr"/>
      <c r="J369" t="inlineStr">
        <is>
          <t>Other</t>
        </is>
      </c>
      <c r="K369" t="inlineStr">
        <is>
          <t>UFC Fight Night</t>
        </is>
      </c>
      <c r="L369" t="inlineStr">
        <is>
          <t>ML</t>
        </is>
      </c>
      <c r="M369" t="inlineStr">
        <is>
          <t>Raul Rosas Jr ML vs Raoni Barcelos</t>
        </is>
      </c>
      <c r="N369" t="n">
        <v>1</v>
      </c>
      <c r="O369" t="inlineStr">
        <is>
          <t>-152</t>
        </is>
      </c>
      <c r="P369" s="4" t="n">
        <v>1.6579</v>
      </c>
      <c r="Q369" s="5" t="n">
        <v>75000</v>
      </c>
      <c r="R369" t="inlineStr"/>
      <c r="S369" s="5" t="n">
        <v>124500</v>
      </c>
      <c r="T369" t="inlineStr">
        <is>
          <t>Gamdom</t>
        </is>
      </c>
      <c r="U369" t="inlineStr">
        <is>
          <t>W</t>
        </is>
      </c>
      <c r="V369" s="5">
        <f>IF(NOT(ISNUMBER(Q369)),"",IF(U369="W",IF(ISNUMBER(S369),S369-Q369,IF(ISNUMBER(P369),Q369*(P369-1),"")),IF(U369="L",-Q369,IF(U369="Push",0,""))))</f>
        <v/>
      </c>
      <c r="W369">
        <f>IF(NOT(ISNUMBER(R369)),"",IF(U369="W",IF(ISNUMBER(P369),R369*(P369-1),""),IF(U369="L",-R369,IF(U369="Push",0,""))))</f>
        <v/>
      </c>
      <c r="X369" t="inlineStr">
        <is>
          <t>graded from final</t>
        </is>
      </c>
      <c r="Y369" t="inlineStr">
        <is>
          <t>Y - tags Gamdom</t>
        </is>
      </c>
      <c r="Z369" t="inlineStr">
        <is>
          <t>https://x.com/stevewilldoit/status/2103965352967495797</t>
        </is>
      </c>
      <c r="AA369" t="inlineStr">
        <is>
          <t>Final: Rosas Jr def. Barcelos</t>
        </is>
      </c>
      <c r="AB369" t="inlineStr">
        <is>
          <t>Single</t>
        </is>
      </c>
      <c r="AC369" s="5">
        <f>IF(ISNUMBER(V369),Q369,"")</f>
        <v/>
      </c>
      <c r="AD369">
        <f>IF(ISNUMBER(W369),R369,"")</f>
        <v/>
      </c>
    </row>
    <row r="370">
      <c r="A370" t="inlineStr">
        <is>
          <t>S-495797c</t>
        </is>
      </c>
      <c r="B370" t="inlineStr">
        <is>
          <t>Steve</t>
        </is>
      </c>
      <c r="C370" s="2" t="n">
        <v>46291.70143518518</v>
      </c>
      <c r="D370">
        <f>IF(C370="","",TEXT(C370,"dddd"))</f>
        <v/>
      </c>
      <c r="E370" s="3" t="n">
        <v>46291</v>
      </c>
      <c r="F370">
        <f>IF(E370="","",TEXT(E370,"dddd"))</f>
        <v/>
      </c>
      <c r="G370" t="inlineStr">
        <is>
          <t>not matched</t>
        </is>
      </c>
      <c r="H370" t="inlineStr">
        <is>
          <t>N</t>
        </is>
      </c>
      <c r="I370" t="inlineStr"/>
      <c r="J370" t="inlineStr">
        <is>
          <t>Other</t>
        </is>
      </c>
      <c r="K370" t="inlineStr">
        <is>
          <t>UFC Fight Night</t>
        </is>
      </c>
      <c r="L370" t="inlineStr">
        <is>
          <t>ML</t>
        </is>
      </c>
      <c r="M370" t="inlineStr">
        <is>
          <t>Rodolfo Bellato ML vs Christian Edwards</t>
        </is>
      </c>
      <c r="N370" t="n">
        <v>1</v>
      </c>
      <c r="O370" t="inlineStr">
        <is>
          <t>-185</t>
        </is>
      </c>
      <c r="P370" s="4" t="n">
        <v>1.5405</v>
      </c>
      <c r="Q370" s="5" t="n">
        <v>75000</v>
      </c>
      <c r="R370" t="inlineStr"/>
      <c r="S370" s="5" t="n">
        <v>115500</v>
      </c>
      <c r="T370" t="inlineStr">
        <is>
          <t>Gamdom</t>
        </is>
      </c>
      <c r="U370" t="inlineStr">
        <is>
          <t>L</t>
        </is>
      </c>
      <c r="V370" s="5">
        <f>IF(NOT(ISNUMBER(Q370)),"",IF(U370="W",IF(ISNUMBER(S370),S370-Q370,IF(ISNUMBER(P370),Q370*(P370-1),"")),IF(U370="L",-Q370,IF(U370="Push",0,""))))</f>
        <v/>
      </c>
      <c r="W370">
        <f>IF(NOT(ISNUMBER(R370)),"",IF(U370="W",IF(ISNUMBER(P370),R370*(P370-1),""),IF(U370="L",-R370,IF(U370="Push",0,""))))</f>
        <v/>
      </c>
      <c r="X370" t="inlineStr">
        <is>
          <t>graded from final</t>
        </is>
      </c>
      <c r="Y370" t="inlineStr">
        <is>
          <t>Y - tags Gamdom</t>
        </is>
      </c>
      <c r="Z370" t="inlineStr">
        <is>
          <t>https://x.com/stevewilldoit/status/2103965352967495797</t>
        </is>
      </c>
      <c r="AA370" t="inlineStr">
        <is>
          <t>Final: Edwards def. Bellato</t>
        </is>
      </c>
      <c r="AB370" t="inlineStr">
        <is>
          <t>Single</t>
        </is>
      </c>
      <c r="AC370" s="5">
        <f>IF(ISNUMBER(V370),Q370,"")</f>
        <v/>
      </c>
      <c r="AD370">
        <f>IF(ISNUMBER(W370),R370,"")</f>
        <v/>
      </c>
    </row>
    <row r="371">
      <c r="A371" t="inlineStr">
        <is>
          <t>S-336319</t>
        </is>
      </c>
      <c r="B371" t="inlineStr">
        <is>
          <t>Steve</t>
        </is>
      </c>
      <c r="C371" s="2" t="n">
        <v>46291.78153935185</v>
      </c>
      <c r="D371">
        <f>IF(C371="","",TEXT(C371,"dddd"))</f>
        <v/>
      </c>
      <c r="E371" s="3" t="n">
        <v>46291</v>
      </c>
      <c r="F371">
        <f>IF(E371="","",TEXT(E371,"dddd"))</f>
        <v/>
      </c>
      <c r="G371" t="inlineStr">
        <is>
          <t>not matched</t>
        </is>
      </c>
      <c r="H371" t="inlineStr">
        <is>
          <t>N</t>
        </is>
      </c>
      <c r="I371" t="inlineStr"/>
      <c r="J371" t="inlineStr">
        <is>
          <t>Other</t>
        </is>
      </c>
      <c r="K371" t="inlineStr">
        <is>
          <t>UFC Fight Night</t>
        </is>
      </c>
      <c r="L371" t="inlineStr">
        <is>
          <t>ML</t>
        </is>
      </c>
      <c r="M371" t="inlineStr">
        <is>
          <t>Raul Rosas Jr ML vs Raoni Barcelos (added)</t>
        </is>
      </c>
      <c r="N371" t="n">
        <v>1</v>
      </c>
      <c r="O371" t="inlineStr">
        <is>
          <t>-156</t>
        </is>
      </c>
      <c r="P371" s="4" t="n">
        <v>1.641</v>
      </c>
      <c r="Q371" s="5" t="n">
        <v>75000</v>
      </c>
      <c r="R371" t="inlineStr"/>
      <c r="S371" s="5" t="n">
        <v>123000</v>
      </c>
      <c r="T371" t="inlineStr">
        <is>
          <t>Gamdom</t>
        </is>
      </c>
      <c r="U371" t="inlineStr">
        <is>
          <t>W</t>
        </is>
      </c>
      <c r="V371" s="5">
        <f>IF(NOT(ISNUMBER(Q371)),"",IF(U371="W",IF(ISNUMBER(S371),S371-Q371,IF(ISNUMBER(P371),Q371*(P371-1),"")),IF(U371="L",-Q371,IF(U371="Push",0,""))))</f>
        <v/>
      </c>
      <c r="W371">
        <f>IF(NOT(ISNUMBER(R371)),"",IF(U371="W",IF(ISNUMBER(P371),R371*(P371-1),""),IF(U371="L",-R371,IF(U371="Push",0,""))))</f>
        <v/>
      </c>
      <c r="X371" t="inlineStr">
        <is>
          <t>graded from final</t>
        </is>
      </c>
      <c r="Y371" t="inlineStr">
        <is>
          <t>N</t>
        </is>
      </c>
      <c r="Z371" t="inlineStr">
        <is>
          <t>https://x.com/stevewilldoit/status/2103994382634336319</t>
        </is>
      </c>
      <c r="AA371" t="inlineStr">
        <is>
          <t>"Adding more"; Final: Rosas Jr def. Barcelos</t>
        </is>
      </c>
      <c r="AB371" t="inlineStr">
        <is>
          <t>Single</t>
        </is>
      </c>
      <c r="AC371" s="5">
        <f>IF(ISNUMBER(V371),Q371,"")</f>
        <v/>
      </c>
      <c r="AD371">
        <f>IF(ISNUMBER(W371),R371,"")</f>
        <v/>
      </c>
    </row>
    <row r="372">
      <c r="A372" t="inlineStr">
        <is>
          <t>T-224660</t>
        </is>
      </c>
      <c r="B372" t="inlineStr">
        <is>
          <t>Trent</t>
        </is>
      </c>
      <c r="C372" s="2" t="n">
        <v>46291.91725694444</v>
      </c>
      <c r="D372">
        <f>IF(C372="","",TEXT(C372,"dddd"))</f>
        <v/>
      </c>
      <c r="E372" s="3" t="n">
        <v>46292</v>
      </c>
      <c r="F372">
        <f>IF(E372="","",TEXT(E372,"dddd"))</f>
        <v/>
      </c>
      <c r="G372" t="inlineStr">
        <is>
          <t>8:20 PM</t>
        </is>
      </c>
      <c r="H372" t="inlineStr">
        <is>
          <t>N</t>
        </is>
      </c>
      <c r="I372" t="inlineStr"/>
      <c r="J372" t="inlineStr">
        <is>
          <t>NFL</t>
        </is>
      </c>
      <c r="K372" t="inlineStr">
        <is>
          <t>NFL</t>
        </is>
      </c>
      <c r="L372" t="inlineStr">
        <is>
          <t>parlay</t>
        </is>
      </c>
      <c r="M372" t="inlineStr">
        <is>
          <t>Chiefs ML; Lions ML; 49ers ML; Bucs ML; Ravens ML; Rams ML (Week 3 Surgical Six)</t>
        </is>
      </c>
      <c r="N372" t="n">
        <v>6</v>
      </c>
      <c r="O372" t="inlineStr">
        <is>
          <t>+1000 (graphic)</t>
        </is>
      </c>
      <c r="P372" s="4" t="inlineStr"/>
      <c r="Q372" s="5" t="inlineStr"/>
      <c r="R372" t="inlineStr"/>
      <c r="S372" s="5" t="inlineStr">
        <is>
          <t>not shown</t>
        </is>
      </c>
      <c r="T372" t="inlineStr">
        <is>
          <t>PrizePicks (tagged)</t>
        </is>
      </c>
      <c r="U372" t="inlineStr">
        <is>
          <t>L</t>
        </is>
      </c>
      <c r="V372" s="5">
        <f>IF(NOT(ISNUMBER(Q372)),"",IF(U372="W",IF(ISNUMBER(S372),S372-Q372,IF(ISNUMBER(P372),Q372*(P372-1),"")),IF(U372="L",-Q372,IF(U372="Push",0,""))))</f>
        <v/>
      </c>
      <c r="W372">
        <f>IF(NOT(ISNUMBER(R372)),"",IF(U372="W",IF(ISNUMBER(P372),R372*(P372-1),""),IF(U372="L",-R372,IF(U372="Push",0,""))))</f>
        <v/>
      </c>
      <c r="X372" t="inlineStr">
        <is>
          <t>posted</t>
        </is>
      </c>
      <c r="Y372" t="inlineStr">
        <is>
          <t>Y - tags PrizePicks</t>
        </is>
      </c>
      <c r="Z372" t="inlineStr">
        <is>
          <t>https://x.com/BookitWithTrent/status/2104043562170224660</t>
        </is>
      </c>
      <c r="AA372" t="inlineStr">
        <is>
          <t>Graphic only, no slip/stake shown; recap graphic 919266 shows Bucs ❌</t>
        </is>
      </c>
      <c r="AB372" t="inlineStr">
        <is>
          <t>Parlay/multi-leg</t>
        </is>
      </c>
      <c r="AC372" s="5">
        <f>IF(ISNUMBER(V372),Q372,"")</f>
        <v/>
      </c>
      <c r="AD372">
        <f>IF(ISNUMBER(W372),R372,"")</f>
        <v/>
      </c>
    </row>
    <row r="373">
      <c r="A373" t="inlineStr">
        <is>
          <t>S-642137</t>
        </is>
      </c>
      <c r="B373" t="inlineStr">
        <is>
          <t>Steve</t>
        </is>
      </c>
      <c r="C373" s="2" t="n">
        <v>46292.4097337963</v>
      </c>
      <c r="D373">
        <f>IF(C373="","",TEXT(C373,"dddd"))</f>
        <v/>
      </c>
      <c r="E373" s="3" t="n">
        <v>46292</v>
      </c>
      <c r="F373">
        <f>IF(E373="","",TEXT(E373,"dddd"))</f>
        <v/>
      </c>
      <c r="G373" t="inlineStr">
        <is>
          <t>4:05 PM</t>
        </is>
      </c>
      <c r="H373" t="inlineStr">
        <is>
          <t>N</t>
        </is>
      </c>
      <c r="I373" t="inlineStr"/>
      <c r="J373" t="inlineStr">
        <is>
          <t>NFL</t>
        </is>
      </c>
      <c r="K373" t="inlineStr">
        <is>
          <t>NFL</t>
        </is>
      </c>
      <c r="L373" t="inlineStr">
        <is>
          <t>spread</t>
        </is>
      </c>
      <c r="M373" t="inlineStr">
        <is>
          <t>San Francisco 49ers -6.5 vs Arizona Cardinals</t>
        </is>
      </c>
      <c r="N373" t="n">
        <v>1</v>
      </c>
      <c r="O373" t="inlineStr">
        <is>
          <t>-127</t>
        </is>
      </c>
      <c r="P373" s="4" t="n">
        <v>1.7874</v>
      </c>
      <c r="Q373" s="5" t="n">
        <v>100000</v>
      </c>
      <c r="R373" t="inlineStr"/>
      <c r="S373" s="5" t="n">
        <v>179000</v>
      </c>
      <c r="T373" t="inlineStr">
        <is>
          <t>Gamdom</t>
        </is>
      </c>
      <c r="U373" t="inlineStr">
        <is>
          <t>L</t>
        </is>
      </c>
      <c r="V373" s="5">
        <f>IF(NOT(ISNUMBER(Q373)),"",IF(U373="W",IF(ISNUMBER(S373),S373-Q373,IF(ISNUMBER(P373),Q373*(P373-1),"")),IF(U373="L",-Q373,IF(U373="Push",0,""))))</f>
        <v/>
      </c>
      <c r="W373">
        <f>IF(NOT(ISNUMBER(R373)),"",IF(U373="W",IF(ISNUMBER(P373),R373*(P373-1),""),IF(U373="L",-R373,IF(U373="Push",0,""))))</f>
        <v/>
      </c>
      <c r="X373" t="inlineStr">
        <is>
          <t>graded from final</t>
        </is>
      </c>
      <c r="Y373" t="inlineStr">
        <is>
          <t>Y - tags Gamdom</t>
        </is>
      </c>
      <c r="Z373" t="inlineStr">
        <is>
          <t>https://x.com/stevewilldoit/status/2104222030694642137</t>
        </is>
      </c>
      <c r="AA373" t="inlineStr">
        <is>
          <t>"Mexican Steve's picks"</t>
        </is>
      </c>
      <c r="AB373" t="inlineStr">
        <is>
          <t>Single</t>
        </is>
      </c>
      <c r="AC373" s="5">
        <f>IF(ISNUMBER(V373),Q373,"")</f>
        <v/>
      </c>
      <c r="AD373">
        <f>IF(ISNUMBER(W373),R373,"")</f>
        <v/>
      </c>
    </row>
    <row r="374">
      <c r="A374" t="inlineStr">
        <is>
          <t>S-642137b</t>
        </is>
      </c>
      <c r="B374" t="inlineStr">
        <is>
          <t>Steve</t>
        </is>
      </c>
      <c r="C374" s="2" t="n">
        <v>46292.4097337963</v>
      </c>
      <c r="D374">
        <f>IF(C374="","",TEXT(C374,"dddd"))</f>
        <v/>
      </c>
      <c r="E374" s="3" t="n">
        <v>46292</v>
      </c>
      <c r="F374">
        <f>IF(E374="","",TEXT(E374,"dddd"))</f>
        <v/>
      </c>
      <c r="G374" t="inlineStr">
        <is>
          <t>1:00 PM</t>
        </is>
      </c>
      <c r="H374" t="inlineStr">
        <is>
          <t>N</t>
        </is>
      </c>
      <c r="I374" t="inlineStr"/>
      <c r="J374" t="inlineStr">
        <is>
          <t>NFL</t>
        </is>
      </c>
      <c r="K374" t="inlineStr">
        <is>
          <t>NFL</t>
        </is>
      </c>
      <c r="L374" t="inlineStr">
        <is>
          <t>ML</t>
        </is>
      </c>
      <c r="M374" t="inlineStr">
        <is>
          <t>Carolina Panthers ML vs Cleveland Browns</t>
        </is>
      </c>
      <c r="N374" t="n">
        <v>1</v>
      </c>
      <c r="O374" t="inlineStr">
        <is>
          <t>-127</t>
        </is>
      </c>
      <c r="P374" s="4" t="n">
        <v>1.7874</v>
      </c>
      <c r="Q374" s="5" t="n">
        <v>100000</v>
      </c>
      <c r="R374" t="inlineStr"/>
      <c r="S374" s="5" t="n">
        <v>179000</v>
      </c>
      <c r="T374" t="inlineStr">
        <is>
          <t>Gamdom</t>
        </is>
      </c>
      <c r="U374" t="inlineStr">
        <is>
          <t>L</t>
        </is>
      </c>
      <c r="V374" s="5">
        <f>IF(NOT(ISNUMBER(Q374)),"",IF(U374="W",IF(ISNUMBER(S374),S374-Q374,IF(ISNUMBER(P374),Q374*(P374-1),"")),IF(U374="L",-Q374,IF(U374="Push",0,""))))</f>
        <v/>
      </c>
      <c r="W374">
        <f>IF(NOT(ISNUMBER(R374)),"",IF(U374="W",IF(ISNUMBER(P374),R374*(P374-1),""),IF(U374="L",-R374,IF(U374="Push",0,""))))</f>
        <v/>
      </c>
      <c r="X374" t="inlineStr">
        <is>
          <t>graded from final</t>
        </is>
      </c>
      <c r="Y374" t="inlineStr">
        <is>
          <t>Y - tags Gamdom</t>
        </is>
      </c>
      <c r="Z374" t="inlineStr">
        <is>
          <t>https://x.com/stevewilldoit/status/2104222030694642137</t>
        </is>
      </c>
      <c r="AA374" t="inlineStr">
        <is>
          <t>"Mexican Steve's picks"</t>
        </is>
      </c>
      <c r="AB374" t="inlineStr">
        <is>
          <t>Single</t>
        </is>
      </c>
      <c r="AC374" s="5">
        <f>IF(ISNUMBER(V374),Q374,"")</f>
        <v/>
      </c>
      <c r="AD374">
        <f>IF(ISNUMBER(W374),R374,"")</f>
        <v/>
      </c>
    </row>
    <row r="375">
      <c r="A375" t="inlineStr">
        <is>
          <t>S-045845</t>
        </is>
      </c>
      <c r="B375" t="inlineStr">
        <is>
          <t>Steve</t>
        </is>
      </c>
      <c r="C375" s="2" t="n">
        <v>46292.4343287037</v>
      </c>
      <c r="D375">
        <f>IF(C375="","",TEXT(C375,"dddd"))</f>
        <v/>
      </c>
      <c r="E375" s="3" t="n">
        <v>46292</v>
      </c>
      <c r="F375">
        <f>IF(E375="","",TEXT(E375,"dddd"))</f>
        <v/>
      </c>
      <c r="G375" t="inlineStr">
        <is>
          <t>1:00 PM</t>
        </is>
      </c>
      <c r="H375" t="inlineStr">
        <is>
          <t>N</t>
        </is>
      </c>
      <c r="I375" t="inlineStr"/>
      <c r="J375" t="inlineStr">
        <is>
          <t>NFL</t>
        </is>
      </c>
      <c r="K375" t="inlineStr">
        <is>
          <t>NFL</t>
        </is>
      </c>
      <c r="L375" t="inlineStr">
        <is>
          <t>spread</t>
        </is>
      </c>
      <c r="M375" t="inlineStr">
        <is>
          <t>Detroit Lions -6.5 vs New York Jets</t>
        </is>
      </c>
      <c r="N375" t="n">
        <v>1</v>
      </c>
      <c r="O375" t="inlineStr">
        <is>
          <t>-114</t>
        </is>
      </c>
      <c r="P375" s="4" t="n">
        <v>1.8772</v>
      </c>
      <c r="Q375" s="5" t="n">
        <v>300000</v>
      </c>
      <c r="R375" t="inlineStr"/>
      <c r="S375" s="5" t="n">
        <v>564000</v>
      </c>
      <c r="T375" t="inlineStr">
        <is>
          <t>Gamdom</t>
        </is>
      </c>
      <c r="U375" t="inlineStr">
        <is>
          <t>W</t>
        </is>
      </c>
      <c r="V375" s="5">
        <f>IF(NOT(ISNUMBER(Q375)),"",IF(U375="W",IF(ISNUMBER(S375),S375-Q375,IF(ISNUMBER(P375),Q375*(P375-1),"")),IF(U375="L",-Q375,IF(U375="Push",0,""))))</f>
        <v/>
      </c>
      <c r="W375">
        <f>IF(NOT(ISNUMBER(R375)),"",IF(U375="W",IF(ISNUMBER(P375),R375*(P375-1),""),IF(U375="L",-R375,IF(U375="Push",0,""))))</f>
        <v/>
      </c>
      <c r="X375" t="inlineStr">
        <is>
          <t>graded from final</t>
        </is>
      </c>
      <c r="Y375" t="inlineStr">
        <is>
          <t>Y - tags Gamdom</t>
        </is>
      </c>
      <c r="Z375" t="inlineStr">
        <is>
          <t>https://x.com/stevewilldoit/status/2104230945478045845</t>
        </is>
      </c>
      <c r="AA375" t="inlineStr">
        <is>
          <t>"This is a steve bet. I ride for lions."</t>
        </is>
      </c>
      <c r="AB375" t="inlineStr">
        <is>
          <t>Single</t>
        </is>
      </c>
      <c r="AC375" s="5">
        <f>IF(ISNUMBER(V375),Q375,"")</f>
        <v/>
      </c>
      <c r="AD375">
        <f>IF(ISNUMBER(W375),R375,"")</f>
        <v/>
      </c>
    </row>
    <row r="376">
      <c r="A376" t="inlineStr">
        <is>
          <t>T-813047</t>
        </is>
      </c>
      <c r="B376" t="inlineStr">
        <is>
          <t>Trent</t>
        </is>
      </c>
      <c r="C376" s="2" t="n">
        <v>46292.47008101852</v>
      </c>
      <c r="D376">
        <f>IF(C376="","",TEXT(C376,"dddd"))</f>
        <v/>
      </c>
      <c r="E376" s="3" t="n">
        <v>46292</v>
      </c>
      <c r="F376">
        <f>IF(E376="","",TEXT(E376,"dddd"))</f>
        <v/>
      </c>
      <c r="G376" t="inlineStr">
        <is>
          <t>not matched</t>
        </is>
      </c>
      <c r="H376" t="inlineStr">
        <is>
          <t>Unknown</t>
        </is>
      </c>
      <c r="I376" t="inlineStr">
        <is>
          <t>kickoff not matched</t>
        </is>
      </c>
      <c r="J376" t="inlineStr">
        <is>
          <t>NFL</t>
        </is>
      </c>
      <c r="K376" t="inlineStr">
        <is>
          <t>NFL</t>
        </is>
      </c>
      <c r="L376" t="inlineStr">
        <is>
          <t>PrizePicks/DFS</t>
        </is>
      </c>
      <c r="M376" t="inlineStr">
        <is>
          <t>Justin Herbert o225.5 pass yds; Quinshon Judkins o58.5 rush yds; Jahmyr Gibbs o126.5 rush+rec yds; Christian McCaffrey o99.5 rush+rec yds; Baker Mayfield o216.5 pass yds; Lamar Jackson o40.5 rush yds</t>
        </is>
      </c>
      <c r="N376" t="n">
        <v>6</v>
      </c>
      <c r="O376" t="inlineStr">
        <is>
          <t>+3650</t>
        </is>
      </c>
      <c r="P376" s="4" t="n">
        <v>37.5</v>
      </c>
      <c r="Q376" s="5" t="n">
        <v>500</v>
      </c>
      <c r="R376" t="inlineStr"/>
      <c r="S376" s="5" t="n">
        <v>18750</v>
      </c>
      <c r="T376" t="inlineStr">
        <is>
          <t>PrizePicks</t>
        </is>
      </c>
      <c r="U376" t="inlineStr">
        <is>
          <t>W</t>
        </is>
      </c>
      <c r="V376" s="5">
        <f>IF(NOT(ISNUMBER(Q376)),"",IF(U376="W",IF(ISNUMBER(S376),S376-Q376,IF(ISNUMBER(P376),Q376*(P376-1),"")),IF(U376="L",-Q376,IF(U376="Push",0,""))))</f>
        <v/>
      </c>
      <c r="W376">
        <f>IF(NOT(ISNUMBER(R376)),"",IF(U376="W",IF(ISNUMBER(P376),R376*(P376-1),""),IF(U376="L",-R376,IF(U376="Push",0,""))))</f>
        <v/>
      </c>
      <c r="X376" t="inlineStr">
        <is>
          <t>posted</t>
        </is>
      </c>
      <c r="Y376" t="inlineStr">
        <is>
          <t>N</t>
        </is>
      </c>
      <c r="Z376" t="inlineStr">
        <is>
          <t>https://x.com/BookitWithTrent/status/2104243901032813047</t>
        </is>
      </c>
      <c r="AA376" t="inlineStr">
        <is>
          <t>"HOLY SHIT BAAAANG"; final slip shows all 6 over; "Still can't believe this shit came home"</t>
        </is>
      </c>
      <c r="AB376" t="inlineStr">
        <is>
          <t>Parlay/multi-leg</t>
        </is>
      </c>
      <c r="AC376" s="5">
        <f>IF(ISNUMBER(V376),Q376,"")</f>
        <v/>
      </c>
      <c r="AD376">
        <f>IF(ISNUMBER(W376),R376,"")</f>
        <v/>
      </c>
    </row>
    <row r="377">
      <c r="A377" t="inlineStr">
        <is>
          <t>S-216490</t>
        </is>
      </c>
      <c r="B377" t="inlineStr">
        <is>
          <t>Steve</t>
        </is>
      </c>
      <c r="C377" s="2" t="n">
        <v>46292.5372337963</v>
      </c>
      <c r="D377">
        <f>IF(C377="","",TEXT(C377,"dddd"))</f>
        <v/>
      </c>
      <c r="E377" s="3" t="n">
        <v>46292</v>
      </c>
      <c r="F377">
        <f>IF(E377="","",TEXT(E377,"dddd"))</f>
        <v/>
      </c>
      <c r="G377" t="inlineStr">
        <is>
          <t>4:25 PM</t>
        </is>
      </c>
      <c r="H377" t="inlineStr">
        <is>
          <t>N</t>
        </is>
      </c>
      <c r="I377" t="inlineStr"/>
      <c r="J377" t="inlineStr">
        <is>
          <t>NFL</t>
        </is>
      </c>
      <c r="K377" t="inlineStr">
        <is>
          <t>NFL</t>
        </is>
      </c>
      <c r="L377" t="inlineStr">
        <is>
          <t>spread</t>
        </is>
      </c>
      <c r="M377" t="inlineStr">
        <is>
          <t>Las Vegas Raiders +3 vs New Orleans Saints</t>
        </is>
      </c>
      <c r="N377" t="n">
        <v>1</v>
      </c>
      <c r="O377" t="inlineStr">
        <is>
          <t>+112</t>
        </is>
      </c>
      <c r="P377" s="4" t="n">
        <v>2.12</v>
      </c>
      <c r="Q377" s="5" t="n">
        <v>100009</v>
      </c>
      <c r="R377" t="inlineStr"/>
      <c r="S377" s="5" t="n">
        <v>212019.08</v>
      </c>
      <c r="T377" t="inlineStr">
        <is>
          <t>Gamdom</t>
        </is>
      </c>
      <c r="U377" t="inlineStr">
        <is>
          <t>W</t>
        </is>
      </c>
      <c r="V377" s="5">
        <f>IF(NOT(ISNUMBER(Q377)),"",IF(U377="W",IF(ISNUMBER(S377),S377-Q377,IF(ISNUMBER(P377),Q377*(P377-1),"")),IF(U377="L",-Q377,IF(U377="Push",0,""))))</f>
        <v/>
      </c>
      <c r="W377">
        <f>IF(NOT(ISNUMBER(R377)),"",IF(U377="W",IF(ISNUMBER(P377),R377*(P377-1),""),IF(U377="L",-R377,IF(U377="Push",0,""))))</f>
        <v/>
      </c>
      <c r="X377" t="inlineStr">
        <is>
          <t>graded from final</t>
        </is>
      </c>
      <c r="Y377" t="inlineStr">
        <is>
          <t>Y - tags Gamdom</t>
        </is>
      </c>
      <c r="Z377" t="inlineStr">
        <is>
          <t>https://x.com/stevewilldoit/status/2104268235315216490</t>
        </is>
      </c>
      <c r="AA377" t="inlineStr">
        <is>
          <t>"Steve picks"</t>
        </is>
      </c>
      <c r="AB377" t="inlineStr">
        <is>
          <t>Single</t>
        </is>
      </c>
      <c r="AC377" s="5">
        <f>IF(ISNUMBER(V377),Q377,"")</f>
        <v/>
      </c>
      <c r="AD377">
        <f>IF(ISNUMBER(W377),R377,"")</f>
        <v/>
      </c>
    </row>
    <row r="378">
      <c r="A378" t="inlineStr">
        <is>
          <t>T-685626</t>
        </is>
      </c>
      <c r="B378" t="inlineStr">
        <is>
          <t>Trent</t>
        </is>
      </c>
      <c r="C378" s="2" t="n">
        <v>46292.58037037037</v>
      </c>
      <c r="D378">
        <f>IF(C378="","",TEXT(C378,"dddd"))</f>
        <v/>
      </c>
      <c r="E378" s="3" t="n">
        <v>46292</v>
      </c>
      <c r="F378">
        <f>IF(E378="","",TEXT(E378,"dddd"))</f>
        <v/>
      </c>
      <c r="G378" t="inlineStr">
        <is>
          <t>4:25 PM</t>
        </is>
      </c>
      <c r="H378" t="inlineStr">
        <is>
          <t>N</t>
        </is>
      </c>
      <c r="I378" t="inlineStr"/>
      <c r="J378" t="inlineStr">
        <is>
          <t>NFL</t>
        </is>
      </c>
      <c r="K378" t="inlineStr">
        <is>
          <t>NFL</t>
        </is>
      </c>
      <c r="L378" t="inlineStr">
        <is>
          <t>spread</t>
        </is>
      </c>
      <c r="M378" t="inlineStr">
        <is>
          <t>Baltimore Ravens -3 vs Dallas Cowboys</t>
        </is>
      </c>
      <c r="N378" t="n">
        <v>1</v>
      </c>
      <c r="O378" t="inlineStr">
        <is>
          <t>not shown</t>
        </is>
      </c>
      <c r="P378" s="4" t="inlineStr"/>
      <c r="Q378" s="5" t="inlineStr"/>
      <c r="R378" t="n">
        <v>5</v>
      </c>
      <c r="S378" s="5" t="inlineStr"/>
      <c r="T378" t="inlineStr">
        <is>
          <t>not shown</t>
        </is>
      </c>
      <c r="U378" t="inlineStr">
        <is>
          <t>Push</t>
        </is>
      </c>
      <c r="V378" s="5">
        <f>IF(NOT(ISNUMBER(Q378)),"",IF(U378="W",IF(ISNUMBER(S378),S378-Q378,IF(ISNUMBER(P378),Q378*(P378-1),"")),IF(U378="L",-Q378,IF(U378="Push",0,""))))</f>
        <v/>
      </c>
      <c r="W378">
        <f>IF(NOT(ISNUMBER(R378)),"",IF(U378="W",IF(ISNUMBER(P378),R378*(P378-1),""),IF(U378="L",-R378,IF(U378="Push",0,""))))</f>
        <v/>
      </c>
      <c r="X378" t="inlineStr">
        <is>
          <t>graded from final</t>
        </is>
      </c>
      <c r="Y378" t="inlineStr">
        <is>
          <t>N</t>
        </is>
      </c>
      <c r="Z378" t="inlineStr">
        <is>
          <t>https://x.com/BookitWithTrent/status/2104283866437685626</t>
        </is>
      </c>
      <c r="AA378" t="inlineStr">
        <is>
          <t>"NFL MORTAL MEGA MAX" 5u</t>
        </is>
      </c>
      <c r="AB378" t="inlineStr">
        <is>
          <t>Single</t>
        </is>
      </c>
      <c r="AC378" s="5">
        <f>IF(ISNUMBER(V378),Q378,"")</f>
        <v/>
      </c>
      <c r="AD378">
        <f>IF(ISNUMBER(W378),R378,"")</f>
        <v/>
      </c>
    </row>
    <row r="379">
      <c r="A379" t="inlineStr">
        <is>
          <t>T-775125</t>
        </is>
      </c>
      <c r="B379" t="inlineStr">
        <is>
          <t>Trent</t>
        </is>
      </c>
      <c r="C379" s="2" t="n">
        <v>46292.69476851852</v>
      </c>
      <c r="D379">
        <f>IF(C379="","",TEXT(C379,"dddd"))</f>
        <v/>
      </c>
      <c r="E379" s="3" t="n">
        <v>46292</v>
      </c>
      <c r="F379">
        <f>IF(E379="","",TEXT(E379,"dddd"))</f>
        <v/>
      </c>
      <c r="G379" t="inlineStr">
        <is>
          <t>8:20 PM</t>
        </is>
      </c>
      <c r="H379" t="inlineStr">
        <is>
          <t>Y</t>
        </is>
      </c>
      <c r="I379" t="inlineStr">
        <is>
          <t>SNF</t>
        </is>
      </c>
      <c r="J379" t="inlineStr">
        <is>
          <t>NFL</t>
        </is>
      </c>
      <c r="K379" t="inlineStr">
        <is>
          <t>NFL</t>
        </is>
      </c>
      <c r="L379" t="inlineStr">
        <is>
          <t>ML</t>
        </is>
      </c>
      <c r="M379" t="inlineStr">
        <is>
          <t>Los Angeles Rams ML vs Denver Broncos (SNF)</t>
        </is>
      </c>
      <c r="N379" t="n">
        <v>1</v>
      </c>
      <c r="O379" t="inlineStr">
        <is>
          <t>not shown</t>
        </is>
      </c>
      <c r="P379" s="4" t="inlineStr"/>
      <c r="Q379" s="5" t="inlineStr"/>
      <c r="R379" t="n">
        <v>5</v>
      </c>
      <c r="S379" s="5" t="inlineStr"/>
      <c r="T379" t="inlineStr">
        <is>
          <t>not shown</t>
        </is>
      </c>
      <c r="U379" t="inlineStr">
        <is>
          <t>L</t>
        </is>
      </c>
      <c r="V379" s="5">
        <f>IF(NOT(ISNUMBER(Q379)),"",IF(U379="W",IF(ISNUMBER(S379),S379-Q379,IF(ISNUMBER(P379),Q379*(P379-1),"")),IF(U379="L",-Q379,IF(U379="Push",0,""))))</f>
        <v/>
      </c>
      <c r="W379">
        <f>IF(NOT(ISNUMBER(R379)),"",IF(U379="W",IF(ISNUMBER(P379),R379*(P379-1),""),IF(U379="L",-R379,IF(U379="Push",0,""))))</f>
        <v/>
      </c>
      <c r="X379" t="inlineStr">
        <is>
          <t>graded from final</t>
        </is>
      </c>
      <c r="Y379" t="inlineStr">
        <is>
          <t>N</t>
        </is>
      </c>
      <c r="Z379" t="inlineStr">
        <is>
          <t>https://x.com/BookitWithTrent/status/2104325324607775125</t>
        </is>
      </c>
      <c r="AA379" t="inlineStr">
        <is>
          <t>"SNF MORTAL MEGA MAX" 5u</t>
        </is>
      </c>
      <c r="AB379" t="inlineStr">
        <is>
          <t>Single</t>
        </is>
      </c>
      <c r="AC379" s="5">
        <f>IF(ISNUMBER(V379),Q379,"")</f>
        <v/>
      </c>
      <c r="AD379">
        <f>IF(ISNUMBER(W379),R379,"")</f>
        <v/>
      </c>
    </row>
    <row r="380">
      <c r="A380" t="inlineStr">
        <is>
          <t>T-434904</t>
        </is>
      </c>
      <c r="B380" t="inlineStr">
        <is>
          <t>Trent</t>
        </is>
      </c>
      <c r="C380" s="2" t="n">
        <v>46292.72371527777</v>
      </c>
      <c r="D380">
        <f>IF(C380="","",TEXT(C380,"dddd"))</f>
        <v/>
      </c>
      <c r="E380" s="3" t="n">
        <v>46292</v>
      </c>
      <c r="F380">
        <f>IF(E380="","",TEXT(E380,"dddd"))</f>
        <v/>
      </c>
      <c r="G380" t="inlineStr">
        <is>
          <t>not matched</t>
        </is>
      </c>
      <c r="H380" t="inlineStr">
        <is>
          <t>Y</t>
        </is>
      </c>
      <c r="I380" t="inlineStr">
        <is>
          <t>SNF</t>
        </is>
      </c>
      <c r="J380" t="inlineStr">
        <is>
          <t>NFL</t>
        </is>
      </c>
      <c r="K380" t="inlineStr">
        <is>
          <t>NFL</t>
        </is>
      </c>
      <c r="L380" t="inlineStr">
        <is>
          <t>first TD</t>
        </is>
      </c>
      <c r="M380" t="inlineStr">
        <is>
          <t>Tyler Higbee first TD scorer (SNF)</t>
        </is>
      </c>
      <c r="N380" t="n">
        <v>1</v>
      </c>
      <c r="O380" t="inlineStr">
        <is>
          <t>+2300</t>
        </is>
      </c>
      <c r="P380" s="4" t="n">
        <v>24</v>
      </c>
      <c r="Q380" s="5" t="inlineStr"/>
      <c r="R380" t="inlineStr"/>
      <c r="S380" s="5" t="inlineStr"/>
      <c r="T380" t="inlineStr">
        <is>
          <t>not shown</t>
        </is>
      </c>
      <c r="U380" t="inlineStr">
        <is>
          <t>W</t>
        </is>
      </c>
      <c r="V380" s="5">
        <f>IF(NOT(ISNUMBER(Q380)),"",IF(U380="W",IF(ISNUMBER(S380),S380-Q380,IF(ISNUMBER(P380),Q380*(P380-1),"")),IF(U380="L",-Q380,IF(U380="Push",0,""))))</f>
        <v/>
      </c>
      <c r="W380">
        <f>IF(NOT(ISNUMBER(R380)),"",IF(U380="W",IF(ISNUMBER(P380),R380*(P380-1),""),IF(U380="L",-R380,IF(U380="Push",0,""))))</f>
        <v/>
      </c>
      <c r="X380" t="inlineStr">
        <is>
          <t>posted</t>
        </is>
      </c>
      <c r="Y380" t="inlineStr">
        <is>
          <t>N</t>
        </is>
      </c>
      <c r="Z380" t="inlineStr">
        <is>
          <t>https://x.com/BookitWithTrent/status/2104335812842434904</t>
        </is>
      </c>
      <c r="AA380" t="inlineStr">
        <is>
          <t>"OH MY GODDDD"/"i'm still floating"; record was 0-8</t>
        </is>
      </c>
      <c r="AB380" t="inlineStr">
        <is>
          <t>Single</t>
        </is>
      </c>
      <c r="AC380" s="5">
        <f>IF(ISNUMBER(V380),Q380,"")</f>
        <v/>
      </c>
      <c r="AD380">
        <f>IF(ISNUMBER(W380),R380,"")</f>
        <v/>
      </c>
    </row>
    <row r="381">
      <c r="A381" t="inlineStr">
        <is>
          <t>S-772105</t>
        </is>
      </c>
      <c r="B381" t="inlineStr">
        <is>
          <t>Steve</t>
        </is>
      </c>
      <c r="C381" s="2" t="n">
        <v>46292.78695601852</v>
      </c>
      <c r="D381">
        <f>IF(C381="","",TEXT(C381,"dddd"))</f>
        <v/>
      </c>
      <c r="E381" s="3" t="n">
        <v>46292</v>
      </c>
      <c r="F381">
        <f>IF(E381="","",TEXT(E381,"dddd"))</f>
        <v/>
      </c>
      <c r="G381" t="inlineStr">
        <is>
          <t>4:25 PM</t>
        </is>
      </c>
      <c r="H381" t="inlineStr">
        <is>
          <t>N</t>
        </is>
      </c>
      <c r="I381" t="inlineStr"/>
      <c r="J381" t="inlineStr">
        <is>
          <t>NFL</t>
        </is>
      </c>
      <c r="K381" t="inlineStr">
        <is>
          <t>NFL</t>
        </is>
      </c>
      <c r="L381" t="inlineStr">
        <is>
          <t>parlay</t>
        </is>
      </c>
      <c r="M381" t="inlineStr">
        <is>
          <t>San Francisco 49ers ML (-400) vs Cardinals; Baltimore Ravens ML (-180) vs Cowboys (Brazil)</t>
        </is>
      </c>
      <c r="N381" t="n">
        <v>2</v>
      </c>
      <c r="O381" t="inlineStr">
        <is>
          <t>-106</t>
        </is>
      </c>
      <c r="P381" s="4" t="n">
        <v>1.9434</v>
      </c>
      <c r="Q381" s="5" t="n">
        <v>400000</v>
      </c>
      <c r="R381" t="inlineStr"/>
      <c r="S381" s="5" t="n">
        <v>777777.8</v>
      </c>
      <c r="T381" t="inlineStr">
        <is>
          <t>Red Rock (sportsbook)</t>
        </is>
      </c>
      <c r="U381" t="inlineStr">
        <is>
          <t>W</t>
        </is>
      </c>
      <c r="V381" s="5">
        <f>IF(NOT(ISNUMBER(Q381)),"",IF(U381="W",IF(ISNUMBER(S381),S381-Q381,IF(ISNUMBER(P381),Q381*(P381-1),"")),IF(U381="L",-Q381,IF(U381="Push",0,""))))</f>
        <v/>
      </c>
      <c r="W381">
        <f>IF(NOT(ISNUMBER(R381)),"",IF(U381="W",IF(ISNUMBER(P381),R381*(P381-1),""),IF(U381="L",-R381,IF(U381="Push",0,""))))</f>
        <v/>
      </c>
      <c r="X381" t="inlineStr">
        <is>
          <t>graded from final</t>
        </is>
      </c>
      <c r="Y381" t="inlineStr">
        <is>
          <t>N</t>
        </is>
      </c>
      <c r="Z381" t="inlineStr">
        <is>
          <t>https://x.com/stevewilldoit/status/2104358730699772105</t>
        </is>
      </c>
      <c r="AA381" t="inlineStr">
        <is>
          <t>Red Rock ticket: to win $377,777.80; matches "Also doing a parlay 49ers ML Ravens ML" (216490)</t>
        </is>
      </c>
      <c r="AB381" t="inlineStr">
        <is>
          <t>Parlay/multi-leg</t>
        </is>
      </c>
      <c r="AC381" s="5">
        <f>IF(ISNUMBER(V381),Q381,"")</f>
        <v/>
      </c>
      <c r="AD381">
        <f>IF(ISNUMBER(W381),R381,"")</f>
        <v/>
      </c>
    </row>
    <row r="382">
      <c r="A382" t="inlineStr">
        <is>
          <t>S-820830</t>
        </is>
      </c>
      <c r="B382" t="inlineStr">
        <is>
          <t>Steve</t>
        </is>
      </c>
      <c r="C382" s="2" t="n">
        <v>46292.84840277778</v>
      </c>
      <c r="D382">
        <f>IF(C382="","",TEXT(C382,"dddd"))</f>
        <v/>
      </c>
      <c r="E382" s="3" t="n">
        <v>46292</v>
      </c>
      <c r="F382">
        <f>IF(E382="","",TEXT(E382,"dddd"))</f>
        <v/>
      </c>
      <c r="G382" t="inlineStr">
        <is>
          <t>8:20 PM</t>
        </is>
      </c>
      <c r="H382" t="inlineStr">
        <is>
          <t>Y</t>
        </is>
      </c>
      <c r="I382" t="inlineStr">
        <is>
          <t>SNF</t>
        </is>
      </c>
      <c r="J382" t="inlineStr">
        <is>
          <t>NFL</t>
        </is>
      </c>
      <c r="K382" t="inlineStr">
        <is>
          <t>NFL</t>
        </is>
      </c>
      <c r="L382" t="inlineStr">
        <is>
          <t>spread</t>
        </is>
      </c>
      <c r="M382" t="inlineStr">
        <is>
          <t>Denver Broncos +11.5 vs LA Rams (SNF)</t>
        </is>
      </c>
      <c r="N382" t="n">
        <v>1</v>
      </c>
      <c r="O382" t="inlineStr">
        <is>
          <t>-172</t>
        </is>
      </c>
      <c r="P382" s="4" t="n">
        <v>1.5814</v>
      </c>
      <c r="Q382" s="5" t="n">
        <v>72000</v>
      </c>
      <c r="R382" t="inlineStr"/>
      <c r="S382" s="5" t="n">
        <v>113760</v>
      </c>
      <c r="T382" t="inlineStr">
        <is>
          <t>Gamdom</t>
        </is>
      </c>
      <c r="U382" t="inlineStr">
        <is>
          <t>W</t>
        </is>
      </c>
      <c r="V382" s="5">
        <f>IF(NOT(ISNUMBER(Q382)),"",IF(U382="W",IF(ISNUMBER(S382),S382-Q382,IF(ISNUMBER(P382),Q382*(P382-1),"")),IF(U382="L",-Q382,IF(U382="Push",0,""))))</f>
        <v/>
      </c>
      <c r="W382">
        <f>IF(NOT(ISNUMBER(R382)),"",IF(U382="W",IF(ISNUMBER(P382),R382*(P382-1),""),IF(U382="L",-R382,IF(U382="Push",0,""))))</f>
        <v/>
      </c>
      <c r="X382" t="inlineStr">
        <is>
          <t>graded from final</t>
        </is>
      </c>
      <c r="Y382" t="inlineStr">
        <is>
          <t>Y - tags Gamdom</t>
        </is>
      </c>
      <c r="Z382" t="inlineStr">
        <is>
          <t>https://x.com/stevewilldoit/status/2104381000339820830</t>
        </is>
      </c>
      <c r="AA382" t="inlineStr">
        <is>
          <t>"Pure love of the game"</t>
        </is>
      </c>
      <c r="AB382" t="inlineStr">
        <is>
          <t>Single</t>
        </is>
      </c>
      <c r="AC382" s="5">
        <f>IF(ISNUMBER(V382),Q382,"")</f>
        <v/>
      </c>
      <c r="AD382">
        <f>IF(ISNUMBER(W382),R382,"")</f>
        <v/>
      </c>
    </row>
    <row r="383">
      <c r="A383" t="inlineStr">
        <is>
          <t>S-554136</t>
        </is>
      </c>
      <c r="B383" t="inlineStr">
        <is>
          <t>Steve</t>
        </is>
      </c>
      <c r="C383" s="2" t="n">
        <v>46293.01949074074</v>
      </c>
      <c r="D383">
        <f>IF(C383="","",TEXT(C383,"dddd"))</f>
        <v/>
      </c>
      <c r="E383" s="3" t="n">
        <v>46293</v>
      </c>
      <c r="F383">
        <f>IF(E383="","",TEXT(E383,"dddd"))</f>
        <v/>
      </c>
      <c r="G383" t="inlineStr">
        <is>
          <t>8:15 PM</t>
        </is>
      </c>
      <c r="H383" t="inlineStr">
        <is>
          <t>Y</t>
        </is>
      </c>
      <c r="I383" t="inlineStr">
        <is>
          <t>MNF</t>
        </is>
      </c>
      <c r="J383" t="inlineStr">
        <is>
          <t>NFL</t>
        </is>
      </c>
      <c r="K383" t="inlineStr">
        <is>
          <t>NFL</t>
        </is>
      </c>
      <c r="L383" t="inlineStr">
        <is>
          <t>spread</t>
        </is>
      </c>
      <c r="M383" t="inlineStr">
        <is>
          <t>Philadelphia Eagles -6.5 vs Chicago Bears (MNF)</t>
        </is>
      </c>
      <c r="N383" t="n">
        <v>1</v>
      </c>
      <c r="O383" t="inlineStr">
        <is>
          <t>+121</t>
        </is>
      </c>
      <c r="P383" s="4" t="n">
        <v>2.21</v>
      </c>
      <c r="Q383" s="5" t="n">
        <v>100000</v>
      </c>
      <c r="R383" t="inlineStr"/>
      <c r="S383" s="5" t="n">
        <v>221000</v>
      </c>
      <c r="T383" t="inlineStr">
        <is>
          <t>Gamdom</t>
        </is>
      </c>
      <c r="U383" t="inlineStr">
        <is>
          <t>L</t>
        </is>
      </c>
      <c r="V383" s="5">
        <f>IF(NOT(ISNUMBER(Q383)),"",IF(U383="W",IF(ISNUMBER(S383),S383-Q383,IF(ISNUMBER(P383),Q383*(P383-1),"")),IF(U383="L",-Q383,IF(U383="Push",0,""))))</f>
        <v/>
      </c>
      <c r="W383">
        <f>IF(NOT(ISNUMBER(R383)),"",IF(U383="W",IF(ISNUMBER(P383),R383*(P383-1),""),IF(U383="L",-R383,IF(U383="Push",0,""))))</f>
        <v/>
      </c>
      <c r="X383" t="inlineStr">
        <is>
          <t>graded from final</t>
        </is>
      </c>
      <c r="Y383" t="inlineStr">
        <is>
          <t>Y - tags Gamdom</t>
        </is>
      </c>
      <c r="Z383" t="inlineStr">
        <is>
          <t>https://x.com/stevewilldoit/status/2104443000923554136</t>
        </is>
      </c>
      <c r="AA383" t="inlineStr">
        <is>
          <t>"-6.5 lock steve lock"</t>
        </is>
      </c>
      <c r="AB383" t="inlineStr">
        <is>
          <t>Single</t>
        </is>
      </c>
      <c r="AC383" s="5">
        <f>IF(ISNUMBER(V383),Q383,"")</f>
        <v/>
      </c>
      <c r="AD383">
        <f>IF(ISNUMBER(W383),R383,"")</f>
        <v/>
      </c>
    </row>
    <row r="384">
      <c r="A384" t="inlineStr">
        <is>
          <t>S-495996</t>
        </is>
      </c>
      <c r="B384" t="inlineStr">
        <is>
          <t>Steve</t>
        </is>
      </c>
      <c r="C384" s="2" t="n">
        <v>46293.48354166667</v>
      </c>
      <c r="D384">
        <f>IF(C384="","",TEXT(C384,"dddd"))</f>
        <v/>
      </c>
      <c r="E384" s="3" t="n">
        <v>46293</v>
      </c>
      <c r="F384">
        <f>IF(E384="","",TEXT(E384,"dddd"))</f>
        <v/>
      </c>
      <c r="G384" t="inlineStr">
        <is>
          <t>8:15 PM</t>
        </is>
      </c>
      <c r="H384" t="inlineStr">
        <is>
          <t>Y</t>
        </is>
      </c>
      <c r="I384" t="inlineStr">
        <is>
          <t>MNF</t>
        </is>
      </c>
      <c r="J384" t="inlineStr">
        <is>
          <t>NFL</t>
        </is>
      </c>
      <c r="K384" t="inlineStr">
        <is>
          <t>NFL</t>
        </is>
      </c>
      <c r="L384" t="inlineStr">
        <is>
          <t>spread</t>
        </is>
      </c>
      <c r="M384" t="inlineStr">
        <is>
          <t>Philadelphia Eagles -5.5 vs Chicago Bears (MNF)</t>
        </is>
      </c>
      <c r="N384" t="n">
        <v>1</v>
      </c>
      <c r="O384" t="inlineStr">
        <is>
          <t>+114</t>
        </is>
      </c>
      <c r="P384" s="4" t="n">
        <v>2.14</v>
      </c>
      <c r="Q384" s="5" t="n">
        <v>250000</v>
      </c>
      <c r="R384" t="inlineStr"/>
      <c r="S384" s="5" t="n">
        <v>535000</v>
      </c>
      <c r="T384" t="inlineStr">
        <is>
          <t>Gamdom</t>
        </is>
      </c>
      <c r="U384" t="inlineStr">
        <is>
          <t>L</t>
        </is>
      </c>
      <c r="V384" s="5">
        <f>IF(NOT(ISNUMBER(Q384)),"",IF(U384="W",IF(ISNUMBER(S384),S384-Q384,IF(ISNUMBER(P384),Q384*(P384-1),"")),IF(U384="L",-Q384,IF(U384="Push",0,""))))</f>
        <v/>
      </c>
      <c r="W384">
        <f>IF(NOT(ISNUMBER(R384)),"",IF(U384="W",IF(ISNUMBER(P384),R384*(P384-1),""),IF(U384="L",-R384,IF(U384="Push",0,""))))</f>
        <v/>
      </c>
      <c r="X384" t="inlineStr">
        <is>
          <t>graded from final</t>
        </is>
      </c>
      <c r="Y384" t="inlineStr">
        <is>
          <t>Y - tags Gamdom</t>
        </is>
      </c>
      <c r="Z384" t="inlineStr">
        <is>
          <t>https://x.com/stevewilldoit/status/2104611168220495996</t>
        </is>
      </c>
      <c r="AA384" t="inlineStr">
        <is>
          <t>"Want to get a million on this"</t>
        </is>
      </c>
      <c r="AB384" t="inlineStr">
        <is>
          <t>Single</t>
        </is>
      </c>
      <c r="AC384" s="5">
        <f>IF(ISNUMBER(V384),Q384,"")</f>
        <v/>
      </c>
      <c r="AD384">
        <f>IF(ISNUMBER(W384),R384,"")</f>
        <v/>
      </c>
    </row>
    <row r="385">
      <c r="A385" t="inlineStr">
        <is>
          <t>T-044109</t>
        </is>
      </c>
      <c r="B385" t="inlineStr">
        <is>
          <t>Trent</t>
        </is>
      </c>
      <c r="C385" s="2" t="n">
        <v>46293.54013888889</v>
      </c>
      <c r="D385">
        <f>IF(C385="","",TEXT(C385,"dddd"))</f>
        <v/>
      </c>
      <c r="E385" s="3" t="n">
        <v>46293</v>
      </c>
      <c r="F385">
        <f>IF(E385="","",TEXT(E385,"dddd"))</f>
        <v/>
      </c>
      <c r="G385" t="inlineStr">
        <is>
          <t>8:15 PM</t>
        </is>
      </c>
      <c r="H385" t="inlineStr">
        <is>
          <t>Y</t>
        </is>
      </c>
      <c r="I385" t="inlineStr">
        <is>
          <t>MNF</t>
        </is>
      </c>
      <c r="J385" t="inlineStr">
        <is>
          <t>NFL</t>
        </is>
      </c>
      <c r="K385" t="inlineStr">
        <is>
          <t>NFL</t>
        </is>
      </c>
      <c r="L385" t="inlineStr">
        <is>
          <t>spread</t>
        </is>
      </c>
      <c r="M385" t="inlineStr">
        <is>
          <t>Philadelphia Eagles -3.5 vs Bears (MNF)</t>
        </is>
      </c>
      <c r="N385" t="n">
        <v>1</v>
      </c>
      <c r="O385" t="inlineStr">
        <is>
          <t>-110</t>
        </is>
      </c>
      <c r="P385" s="4" t="n">
        <v>1.9091</v>
      </c>
      <c r="Q385" s="5" t="n">
        <v>1962.59</v>
      </c>
      <c r="R385" t="n">
        <v>4</v>
      </c>
      <c r="S385" s="5" t="n">
        <v>3703</v>
      </c>
      <c r="T385" t="inlineStr">
        <is>
          <t>PrizePicks</t>
        </is>
      </c>
      <c r="U385" t="inlineStr">
        <is>
          <t>L</t>
        </is>
      </c>
      <c r="V385" s="5">
        <f>IF(NOT(ISNUMBER(Q385)),"",IF(U385="W",IF(ISNUMBER(S385),S385-Q385,IF(ISNUMBER(P385),Q385*(P385-1),"")),IF(U385="L",-Q385,IF(U385="Push",0,""))))</f>
        <v/>
      </c>
      <c r="W385">
        <f>IF(NOT(ISNUMBER(R385)),"",IF(U385="W",IF(ISNUMBER(P385),R385*(P385-1),""),IF(U385="L",-R385,IF(U385="Push",0,""))))</f>
        <v/>
      </c>
      <c r="X385" t="inlineStr">
        <is>
          <t>posted</t>
        </is>
      </c>
      <c r="Y385" t="inlineStr">
        <is>
          <t>N</t>
        </is>
      </c>
      <c r="Z385" t="inlineStr">
        <is>
          <t>https://x.com/BookitWithTrent/status/2104631676660044109</t>
        </is>
      </c>
      <c r="AA385" t="inlineStr">
        <is>
          <t>"MNF MORTAL MEGA MAX" 4u; PrizePicks 1-pick "win by more than 3.5"; "Eagles -3.5❌❌"</t>
        </is>
      </c>
      <c r="AB385" t="inlineStr">
        <is>
          <t>Single</t>
        </is>
      </c>
      <c r="AC385" s="5">
        <f>IF(ISNUMBER(V385),Q385,"")</f>
        <v/>
      </c>
      <c r="AD385">
        <f>IF(ISNUMBER(W385),R385,"")</f>
        <v/>
      </c>
    </row>
    <row r="386">
      <c r="A386" t="inlineStr">
        <is>
          <t>T-621841</t>
        </is>
      </c>
      <c r="B386" t="inlineStr">
        <is>
          <t>Trent</t>
        </is>
      </c>
      <c r="C386" s="2" t="n">
        <v>46293.63872685185</v>
      </c>
      <c r="D386">
        <f>IF(C386="","",TEXT(C386,"dddd"))</f>
        <v/>
      </c>
      <c r="E386" s="3" t="n">
        <v>46293</v>
      </c>
      <c r="F386">
        <f>IF(E386="","",TEXT(E386,"dddd"))</f>
        <v/>
      </c>
      <c r="G386" t="inlineStr">
        <is>
          <t>8:15 PM</t>
        </is>
      </c>
      <c r="H386" t="inlineStr">
        <is>
          <t>Y</t>
        </is>
      </c>
      <c r="I386" t="inlineStr">
        <is>
          <t>MNF</t>
        </is>
      </c>
      <c r="J386" t="inlineStr">
        <is>
          <t>NFL</t>
        </is>
      </c>
      <c r="K386" t="inlineStr">
        <is>
          <t>NFL</t>
        </is>
      </c>
      <c r="L386" t="inlineStr">
        <is>
          <t>first TD</t>
        </is>
      </c>
      <c r="M386" t="inlineStr">
        <is>
          <t>Dontayvion Wicks first TD scorer (MNF)</t>
        </is>
      </c>
      <c r="N386" t="n">
        <v>1</v>
      </c>
      <c r="O386" t="inlineStr">
        <is>
          <t>+2000</t>
        </is>
      </c>
      <c r="P386" s="4" t="n">
        <v>21</v>
      </c>
      <c r="Q386" s="5" t="inlineStr"/>
      <c r="R386" t="inlineStr"/>
      <c r="S386" s="5" t="inlineStr"/>
      <c r="T386" t="inlineStr">
        <is>
          <t>not shown</t>
        </is>
      </c>
      <c r="U386" t="inlineStr">
        <is>
          <t>L</t>
        </is>
      </c>
      <c r="V386" s="5">
        <f>IF(NOT(ISNUMBER(Q386)),"",IF(U386="W",IF(ISNUMBER(S386),S386-Q386,IF(ISNUMBER(P386),Q386*(P386-1),"")),IF(U386="L",-Q386,IF(U386="Push",0,""))))</f>
        <v/>
      </c>
      <c r="W386">
        <f>IF(NOT(ISNUMBER(R386)),"",IF(U386="W",IF(ISNUMBER(P386),R386*(P386-1),""),IF(U386="L",-R386,IF(U386="Push",0,""))))</f>
        <v/>
      </c>
      <c r="X386" t="inlineStr">
        <is>
          <t>posted</t>
        </is>
      </c>
      <c r="Y386" t="inlineStr">
        <is>
          <t>N</t>
        </is>
      </c>
      <c r="Z386" t="inlineStr">
        <is>
          <t>https://x.com/BookitWithTrent/status/2104667402491621841</t>
        </is>
      </c>
      <c r="AA386" t="inlineStr">
        <is>
          <t>"congrats to all luther first TD bettors"; record to 1-9</t>
        </is>
      </c>
      <c r="AB386" t="inlineStr">
        <is>
          <t>Single</t>
        </is>
      </c>
      <c r="AC386" s="5">
        <f>IF(ISNUMBER(V386),Q386,"")</f>
        <v/>
      </c>
      <c r="AD386">
        <f>IF(ISNUMBER(W386),R386,"")</f>
        <v/>
      </c>
    </row>
    <row r="387">
      <c r="A387" t="inlineStr">
        <is>
          <t>S-950945</t>
        </is>
      </c>
      <c r="B387" t="inlineStr">
        <is>
          <t>Steve</t>
        </is>
      </c>
      <c r="C387" s="2" t="n">
        <v>46293.70605324074</v>
      </c>
      <c r="D387">
        <f>IF(C387="","",TEXT(C387,"dddd"))</f>
        <v/>
      </c>
      <c r="E387" s="3" t="n">
        <v>46293</v>
      </c>
      <c r="F387">
        <f>IF(E387="","",TEXT(E387,"dddd"))</f>
        <v/>
      </c>
      <c r="G387" t="inlineStr">
        <is>
          <t>8:15 PM</t>
        </is>
      </c>
      <c r="H387" t="inlineStr">
        <is>
          <t>Y</t>
        </is>
      </c>
      <c r="I387" t="inlineStr">
        <is>
          <t>MNF</t>
        </is>
      </c>
      <c r="J387" t="inlineStr">
        <is>
          <t>NFL</t>
        </is>
      </c>
      <c r="K387" t="inlineStr">
        <is>
          <t>NFL</t>
        </is>
      </c>
      <c r="L387" t="inlineStr">
        <is>
          <t>spread</t>
        </is>
      </c>
      <c r="M387" t="inlineStr">
        <is>
          <t>Philadelphia Eagles -5.5 alt spread vs Chicago Bears (MNF)</t>
        </is>
      </c>
      <c r="N387" t="n">
        <v>1</v>
      </c>
      <c r="O387" t="inlineStr">
        <is>
          <t>+110</t>
        </is>
      </c>
      <c r="P387" s="4" t="n">
        <v>2.1</v>
      </c>
      <c r="Q387" s="5" t="n">
        <v>500000</v>
      </c>
      <c r="R387" t="inlineStr"/>
      <c r="S387" s="5" t="n">
        <v>1050000</v>
      </c>
      <c r="T387" t="inlineStr">
        <is>
          <t>Red Rock (sportsbook)</t>
        </is>
      </c>
      <c r="U387" t="inlineStr">
        <is>
          <t>L</t>
        </is>
      </c>
      <c r="V387" s="5">
        <f>IF(NOT(ISNUMBER(Q387)),"",IF(U387="W",IF(ISNUMBER(S387),S387-Q387,IF(ISNUMBER(P387),Q387*(P387-1),"")),IF(U387="L",-Q387,IF(U387="Push",0,""))))</f>
        <v/>
      </c>
      <c r="W387">
        <f>IF(NOT(ISNUMBER(R387)),"",IF(U387="W",IF(ISNUMBER(P387),R387*(P387-1),""),IF(U387="L",-R387,IF(U387="Push",0,""))))</f>
        <v/>
      </c>
      <c r="X387" t="inlineStr">
        <is>
          <t>graded from final</t>
        </is>
      </c>
      <c r="Y387" t="inlineStr">
        <is>
          <t>N</t>
        </is>
      </c>
      <c r="Z387" t="inlineStr">
        <is>
          <t>https://x.com/stevewilldoit/status/2104691803676950945</t>
        </is>
      </c>
      <c r="AA387" t="inlineStr">
        <is>
          <t>Red Rock ticket: to win $550,000</t>
        </is>
      </c>
      <c r="AB387" t="inlineStr">
        <is>
          <t>Single</t>
        </is>
      </c>
      <c r="AC387" s="5">
        <f>IF(ISNUMBER(V387),Q387,"")</f>
        <v/>
      </c>
      <c r="AD387">
        <f>IF(ISNUMBER(W387),R387,"")</f>
        <v/>
      </c>
    </row>
    <row r="388">
      <c r="A388" t="inlineStr">
        <is>
          <t>S-356972</t>
        </is>
      </c>
      <c r="B388" t="inlineStr">
        <is>
          <t>Steve</t>
        </is>
      </c>
      <c r="C388" s="2" t="n">
        <v>46293.77453703704</v>
      </c>
      <c r="D388">
        <f>IF(C388="","",TEXT(C388,"dddd"))</f>
        <v/>
      </c>
      <c r="E388" s="3" t="n">
        <v>46293</v>
      </c>
      <c r="F388">
        <f>IF(E388="","",TEXT(E388,"dddd"))</f>
        <v/>
      </c>
      <c r="G388" t="inlineStr">
        <is>
          <t>8:15 PM</t>
        </is>
      </c>
      <c r="H388" t="inlineStr">
        <is>
          <t>Y</t>
        </is>
      </c>
      <c r="I388" t="inlineStr">
        <is>
          <t>MNF</t>
        </is>
      </c>
      <c r="J388" t="inlineStr">
        <is>
          <t>NFL</t>
        </is>
      </c>
      <c r="K388" t="inlineStr">
        <is>
          <t>NFL</t>
        </is>
      </c>
      <c r="L388" t="inlineStr">
        <is>
          <t>spread</t>
        </is>
      </c>
      <c r="M388" t="inlineStr">
        <is>
          <t>Philadelphia Eagles -3.5 vs Chicago Bears (MNF)</t>
        </is>
      </c>
      <c r="N388" t="n">
        <v>1</v>
      </c>
      <c r="O388" t="inlineStr">
        <is>
          <t>-105</t>
        </is>
      </c>
      <c r="P388" s="4" t="n">
        <v>1.9524</v>
      </c>
      <c r="Q388" s="5" t="n">
        <v>40000</v>
      </c>
      <c r="R388" t="inlineStr"/>
      <c r="S388" s="5" t="n">
        <v>78000</v>
      </c>
      <c r="T388" t="inlineStr">
        <is>
          <t>Gamdom</t>
        </is>
      </c>
      <c r="U388" t="inlineStr">
        <is>
          <t>L</t>
        </is>
      </c>
      <c r="V388" s="5">
        <f>IF(NOT(ISNUMBER(Q388)),"",IF(U388="W",IF(ISNUMBER(S388),S388-Q388,IF(ISNUMBER(P388),Q388*(P388-1),"")),IF(U388="L",-Q388,IF(U388="Push",0,""))))</f>
        <v/>
      </c>
      <c r="W388">
        <f>IF(NOT(ISNUMBER(R388)),"",IF(U388="W",IF(ISNUMBER(P388),R388*(P388-1),""),IF(U388="L",-R388,IF(U388="Push",0,""))))</f>
        <v/>
      </c>
      <c r="X388" t="inlineStr">
        <is>
          <t>graded from final</t>
        </is>
      </c>
      <c r="Y388" t="inlineStr">
        <is>
          <t>Y - promo/giveaway language</t>
        </is>
      </c>
      <c r="Z388" t="inlineStr">
        <is>
          <t>https://x.com/stevewilldoit/status/2104716618538356972</t>
        </is>
      </c>
      <c r="AA388" t="inlineStr">
        <is>
          <t>Posted "For my top user under code steve"; may be a bet placed for/with a user</t>
        </is>
      </c>
      <c r="AB388" t="inlineStr">
        <is>
          <t>Single</t>
        </is>
      </c>
      <c r="AC388" s="5">
        <f>IF(ISNUMBER(V388),Q388,"")</f>
        <v/>
      </c>
      <c r="AD388">
        <f>IF(ISNUMBER(W388),R388,"")</f>
        <v/>
      </c>
    </row>
    <row r="389">
      <c r="A389" t="inlineStr">
        <is>
          <t>T-872222</t>
        </is>
      </c>
      <c r="B389" t="inlineStr">
        <is>
          <t>Trent</t>
        </is>
      </c>
      <c r="C389" s="2" t="n">
        <v>46293.9865162037</v>
      </c>
      <c r="D389">
        <f>IF(C389="","",TEXT(C389,"dddd"))</f>
        <v/>
      </c>
      <c r="E389" s="3" t="n">
        <v>46294</v>
      </c>
      <c r="F389">
        <f>IF(E389="","",TEXT(E389,"dddd"))</f>
        <v/>
      </c>
      <c r="G389" t="inlineStr">
        <is>
          <t>not matched</t>
        </is>
      </c>
      <c r="H389" t="inlineStr">
        <is>
          <t>N</t>
        </is>
      </c>
      <c r="I389" t="inlineStr"/>
      <c r="J389" t="inlineStr">
        <is>
          <t>MLB</t>
        </is>
      </c>
      <c r="K389" t="inlineStr">
        <is>
          <t>MLB</t>
        </is>
      </c>
      <c r="L389" t="inlineStr">
        <is>
          <t>PrizePicks/DFS</t>
        </is>
      </c>
      <c r="M389" t="inlineStr">
        <is>
          <t>Chris Sale u1.5 ER allowed; Yordan Alvarez o0.5 walks; Cam Schlittler o39.5 pitcher FS; Fernando Tatis Jr. o7.5 hitter FS</t>
        </is>
      </c>
      <c r="N389" t="n">
        <v>4</v>
      </c>
      <c r="O389" t="inlineStr">
        <is>
          <t>+900</t>
        </is>
      </c>
      <c r="P389" s="4" t="n">
        <v>10</v>
      </c>
      <c r="Q389" s="5" t="n">
        <v>1000</v>
      </c>
      <c r="R389" t="inlineStr"/>
      <c r="S389" s="5" t="n">
        <v>10000</v>
      </c>
      <c r="T389" t="inlineStr">
        <is>
          <t>PrizePicks</t>
        </is>
      </c>
      <c r="U389" t="inlineStr">
        <is>
          <t>L</t>
        </is>
      </c>
      <c r="V389" s="5">
        <f>IF(NOT(ISNUMBER(Q389)),"",IF(U389="W",IF(ISNUMBER(S389),S389-Q389,IF(ISNUMBER(P389),Q389*(P389-1),"")),IF(U389="L",-Q389,IF(U389="Push",0,""))))</f>
        <v/>
      </c>
      <c r="W389">
        <f>IF(NOT(ISNUMBER(R389)),"",IF(U389="W",IF(ISNUMBER(P389),R389*(P389-1),""),IF(U389="L",-R389,IF(U389="Push",0,""))))</f>
        <v/>
      </c>
      <c r="X389" t="inlineStr">
        <is>
          <t>graded from final</t>
        </is>
      </c>
      <c r="Y389" t="inlineStr">
        <is>
          <t>N</t>
        </is>
      </c>
      <c r="Z389" t="inlineStr">
        <is>
          <t>https://x.com/BookitWithTrent/status/2104793436196872222</t>
        </is>
      </c>
      <c r="AA389" t="inlineStr">
        <is>
          <t>"Welcome to the Playoffs"; Final: Sale 3 ER</t>
        </is>
      </c>
      <c r="AB389" t="inlineStr">
        <is>
          <t>Parlay/multi-leg</t>
        </is>
      </c>
      <c r="AC389" s="5">
        <f>IF(ISNUMBER(V389),Q389,"")</f>
        <v/>
      </c>
      <c r="AD389">
        <f>IF(ISNUMBER(W389),R389,"")</f>
        <v/>
      </c>
    </row>
    <row r="390">
      <c r="A390" t="inlineStr">
        <is>
          <t>T-427162</t>
        </is>
      </c>
      <c r="B390" t="inlineStr">
        <is>
          <t>Trent</t>
        </is>
      </c>
      <c r="C390" s="2" t="n">
        <v>46294.41034722222</v>
      </c>
      <c r="D390">
        <f>IF(C390="","",TEXT(C390,"dddd"))</f>
        <v/>
      </c>
      <c r="E390" s="3" t="n">
        <v>46294</v>
      </c>
      <c r="F390">
        <f>IF(E390="","",TEXT(E390,"dddd"))</f>
        <v/>
      </c>
      <c r="G390" t="inlineStr">
        <is>
          <t>10:00 PM</t>
        </is>
      </c>
      <c r="H390" t="inlineStr">
        <is>
          <t>N</t>
        </is>
      </c>
      <c r="I390" t="inlineStr"/>
      <c r="J390" t="inlineStr">
        <is>
          <t>MLB</t>
        </is>
      </c>
      <c r="K390" t="inlineStr">
        <is>
          <t>MLB</t>
        </is>
      </c>
      <c r="L390" t="inlineStr">
        <is>
          <t>PrizePicks/DFS</t>
        </is>
      </c>
      <c r="M390" t="inlineStr">
        <is>
          <t>Braves win vs Phillies; Astros win vs White Sox; Yankees win vs Red Sox; Padres win vs Cubs</t>
        </is>
      </c>
      <c r="N390" t="n">
        <v>4</v>
      </c>
      <c r="O390" t="inlineStr">
        <is>
          <t>+694</t>
        </is>
      </c>
      <c r="P390" s="4" t="n">
        <v>7.94</v>
      </c>
      <c r="Q390" s="5" t="n">
        <v>1260</v>
      </c>
      <c r="R390" t="inlineStr"/>
      <c r="S390" s="5" t="n">
        <v>10000</v>
      </c>
      <c r="T390" t="inlineStr">
        <is>
          <t>PrizePicks</t>
        </is>
      </c>
      <c r="U390" t="inlineStr">
        <is>
          <t>L</t>
        </is>
      </c>
      <c r="V390" s="5">
        <f>IF(NOT(ISNUMBER(Q390)),"",IF(U390="W",IF(ISNUMBER(S390),S390-Q390,IF(ISNUMBER(P390),Q390*(P390-1),"")),IF(U390="L",-Q390,IF(U390="Push",0,""))))</f>
        <v/>
      </c>
      <c r="W390">
        <f>IF(NOT(ISNUMBER(R390)),"",IF(U390="W",IF(ISNUMBER(P390),R390*(P390-1),""),IF(U390="L",-R390,IF(U390="Push",0,""))))</f>
        <v/>
      </c>
      <c r="X390" t="inlineStr">
        <is>
          <t>graded from final</t>
        </is>
      </c>
      <c r="Y390" t="inlineStr">
        <is>
          <t>N</t>
        </is>
      </c>
      <c r="Z390" t="inlineStr">
        <is>
          <t>https://x.com/BookitWithTrent/status/2104947028912427162</t>
        </is>
      </c>
      <c r="AA390" t="inlineStr">
        <is>
          <t>"Home Field Advantage"</t>
        </is>
      </c>
      <c r="AB390" t="inlineStr">
        <is>
          <t>Parlay/multi-leg</t>
        </is>
      </c>
      <c r="AC390" s="5">
        <f>IF(ISNUMBER(V390),Q390,"")</f>
        <v/>
      </c>
      <c r="AD390">
        <f>IF(ISNUMBER(W390),R390,"")</f>
        <v/>
      </c>
    </row>
    <row r="391">
      <c r="A391" t="inlineStr">
        <is>
          <t>S-844135</t>
        </is>
      </c>
      <c r="B391" t="inlineStr">
        <is>
          <t>Steve</t>
        </is>
      </c>
      <c r="C391" s="2" t="n">
        <v>46294.47747685185</v>
      </c>
      <c r="D391">
        <f>IF(C391="","",TEXT(C391,"dddd"))</f>
        <v/>
      </c>
      <c r="E391" s="3" t="n">
        <v>46294</v>
      </c>
      <c r="F391">
        <f>IF(E391="","",TEXT(E391,"dddd"))</f>
        <v/>
      </c>
      <c r="G391" t="inlineStr">
        <is>
          <t>8:00 PM</t>
        </is>
      </c>
      <c r="H391" t="inlineStr">
        <is>
          <t>N</t>
        </is>
      </c>
      <c r="I391" t="inlineStr"/>
      <c r="J391" t="inlineStr">
        <is>
          <t>MLB</t>
        </is>
      </c>
      <c r="K391" t="inlineStr">
        <is>
          <t>MLB</t>
        </is>
      </c>
      <c r="L391" t="inlineStr">
        <is>
          <t>parlay</t>
        </is>
      </c>
      <c r="M391" t="inlineStr">
        <is>
          <t>Boston Red Sox ML vs Yankees; Padres/Cubs winner (selection cut off); other legs not shown (chat lists Braves, White Sox, Red Sox, Cubs)</t>
        </is>
      </c>
      <c r="N391" t="n">
        <v>4</v>
      </c>
      <c r="O391" t="inlineStr">
        <is>
          <t>+1227</t>
        </is>
      </c>
      <c r="P391" s="4" t="n">
        <v>13.27</v>
      </c>
      <c r="Q391" s="5" t="n">
        <v>5000</v>
      </c>
      <c r="R391" t="inlineStr"/>
      <c r="S391" s="5" t="n">
        <v>66350</v>
      </c>
      <c r="T391" t="inlineStr">
        <is>
          <t>Gamdom</t>
        </is>
      </c>
      <c r="U391" t="inlineStr">
        <is>
          <t>L</t>
        </is>
      </c>
      <c r="V391" s="5">
        <f>IF(NOT(ISNUMBER(Q391)),"",IF(U391="W",IF(ISNUMBER(S391),S391-Q391,IF(ISNUMBER(P391),Q391*(P391-1),"")),IF(U391="L",-Q391,IF(U391="Push",0,""))))</f>
        <v/>
      </c>
      <c r="W391">
        <f>IF(NOT(ISNUMBER(R391)),"",IF(U391="W",IF(ISNUMBER(P391),R391*(P391-1),""),IF(U391="L",-R391,IF(U391="Push",0,""))))</f>
        <v/>
      </c>
      <c r="X391" t="inlineStr">
        <is>
          <t>graded from final</t>
        </is>
      </c>
      <c r="Y391" t="inlineStr">
        <is>
          <t>Y - tags Gamdom</t>
        </is>
      </c>
      <c r="Z391" t="inlineStr">
        <is>
          <t>https://x.com/stevewilldoit/status/2104971358492844135</t>
        </is>
      </c>
      <c r="AA391" t="inlineStr">
        <is>
          <t>"Tekashi 6ix9ine parlay of day"; slip partially visible</t>
        </is>
      </c>
      <c r="AB391" t="inlineStr">
        <is>
          <t>Parlay/multi-leg</t>
        </is>
      </c>
      <c r="AC391" s="5">
        <f>IF(ISNUMBER(V391),Q391,"")</f>
        <v/>
      </c>
      <c r="AD391">
        <f>IF(ISNUMBER(W391),R391,"")</f>
        <v/>
      </c>
    </row>
    <row r="392">
      <c r="A392" t="inlineStr">
        <is>
          <t>S-824448</t>
        </is>
      </c>
      <c r="B392" t="inlineStr">
        <is>
          <t>Steve</t>
        </is>
      </c>
      <c r="C392" s="2" t="n">
        <v>46294.48243055555</v>
      </c>
      <c r="D392">
        <f>IF(C392="","",TEXT(C392,"dddd"))</f>
        <v/>
      </c>
      <c r="E392" s="3" t="n">
        <v>46294</v>
      </c>
      <c r="F392">
        <f>IF(E392="","",TEXT(E392,"dddd"))</f>
        <v/>
      </c>
      <c r="G392" t="inlineStr">
        <is>
          <t>2:00 PM</t>
        </is>
      </c>
      <c r="H392" t="inlineStr">
        <is>
          <t>N</t>
        </is>
      </c>
      <c r="I392" t="inlineStr"/>
      <c r="J392" t="inlineStr">
        <is>
          <t>MLB</t>
        </is>
      </c>
      <c r="K392" t="inlineStr">
        <is>
          <t>MLB</t>
        </is>
      </c>
      <c r="L392" t="inlineStr">
        <is>
          <t>ML</t>
        </is>
      </c>
      <c r="M392" t="inlineStr">
        <is>
          <t>Atlanta Braves ML vs Philadelphia Phillies (WC G1)</t>
        </is>
      </c>
      <c r="N392" t="n">
        <v>1</v>
      </c>
      <c r="O392" t="inlineStr">
        <is>
          <t>-204</t>
        </is>
      </c>
      <c r="P392" s="4" t="n">
        <v>1.4902</v>
      </c>
      <c r="Q392" s="5" t="n">
        <v>100000</v>
      </c>
      <c r="R392" t="inlineStr"/>
      <c r="S392" s="5" t="n">
        <v>149000</v>
      </c>
      <c r="T392" t="inlineStr">
        <is>
          <t>Gamdom</t>
        </is>
      </c>
      <c r="U392" t="inlineStr">
        <is>
          <t>W</t>
        </is>
      </c>
      <c r="V392" s="5">
        <f>IF(NOT(ISNUMBER(Q392)),"",IF(U392="W",IF(ISNUMBER(S392),S392-Q392,IF(ISNUMBER(P392),Q392*(P392-1),"")),IF(U392="L",-Q392,IF(U392="Push",0,""))))</f>
        <v/>
      </c>
      <c r="W392">
        <f>IF(NOT(ISNUMBER(R392)),"",IF(U392="W",IF(ISNUMBER(P392),R392*(P392-1),""),IF(U392="L",-R392,IF(U392="Push",0,""))))</f>
        <v/>
      </c>
      <c r="X392" t="inlineStr">
        <is>
          <t>graded from final</t>
        </is>
      </c>
      <c r="Y392" t="inlineStr">
        <is>
          <t>Y - tags Gamdom</t>
        </is>
      </c>
      <c r="Z392" t="inlineStr">
        <is>
          <t>https://x.com/stevewilldoit/status/2104973150349824448</t>
        </is>
      </c>
      <c r="AA392" t="inlineStr">
        <is>
          <t>"Mexican steve"</t>
        </is>
      </c>
      <c r="AB392" t="inlineStr">
        <is>
          <t>Single</t>
        </is>
      </c>
      <c r="AC392" s="5">
        <f>IF(ISNUMBER(V392),Q392,"")</f>
        <v/>
      </c>
      <c r="AD392">
        <f>IF(ISNUMBER(W392),R392,"")</f>
        <v/>
      </c>
    </row>
    <row r="393">
      <c r="A393" t="inlineStr">
        <is>
          <t>S-824448b</t>
        </is>
      </c>
      <c r="B393" t="inlineStr">
        <is>
          <t>Steve</t>
        </is>
      </c>
      <c r="C393" s="2" t="n">
        <v>46294.48243055555</v>
      </c>
      <c r="D393">
        <f>IF(C393="","",TEXT(C393,"dddd"))</f>
        <v/>
      </c>
      <c r="E393" s="3" t="n">
        <v>46294</v>
      </c>
      <c r="F393">
        <f>IF(E393="","",TEXT(E393,"dddd"))</f>
        <v/>
      </c>
      <c r="G393" t="inlineStr">
        <is>
          <t>5:00 PM</t>
        </is>
      </c>
      <c r="H393" t="inlineStr">
        <is>
          <t>N</t>
        </is>
      </c>
      <c r="I393" t="inlineStr"/>
      <c r="J393" t="inlineStr">
        <is>
          <t>MLB</t>
        </is>
      </c>
      <c r="K393" t="inlineStr">
        <is>
          <t>MLB</t>
        </is>
      </c>
      <c r="L393" t="inlineStr">
        <is>
          <t>total</t>
        </is>
      </c>
      <c r="M393" t="inlineStr">
        <is>
          <t>Astros/White Sox Over 7.5 (WC G1)</t>
        </is>
      </c>
      <c r="N393" t="n">
        <v>1</v>
      </c>
      <c r="O393" t="inlineStr">
        <is>
          <t>-135</t>
        </is>
      </c>
      <c r="P393" s="4" t="n">
        <v>1.7407</v>
      </c>
      <c r="Q393" s="5" t="n">
        <v>50000</v>
      </c>
      <c r="R393" t="inlineStr"/>
      <c r="S393" s="5" t="n">
        <v>87000</v>
      </c>
      <c r="T393" t="inlineStr">
        <is>
          <t>Gamdom</t>
        </is>
      </c>
      <c r="U393" t="inlineStr">
        <is>
          <t>W</t>
        </is>
      </c>
      <c r="V393" s="5">
        <f>IF(NOT(ISNUMBER(Q393)),"",IF(U393="W",IF(ISNUMBER(S393),S393-Q393,IF(ISNUMBER(P393),Q393*(P393-1),"")),IF(U393="L",-Q393,IF(U393="Push",0,""))))</f>
        <v/>
      </c>
      <c r="W393">
        <f>IF(NOT(ISNUMBER(R393)),"",IF(U393="W",IF(ISNUMBER(P393),R393*(P393-1),""),IF(U393="L",-R393,IF(U393="Push",0,""))))</f>
        <v/>
      </c>
      <c r="X393" t="inlineStr">
        <is>
          <t>graded from final</t>
        </is>
      </c>
      <c r="Y393" t="inlineStr">
        <is>
          <t>Y - tags Gamdom</t>
        </is>
      </c>
      <c r="Z393" t="inlineStr">
        <is>
          <t>https://x.com/stevewilldoit/status/2104973150349824448</t>
        </is>
      </c>
      <c r="AA393" t="inlineStr">
        <is>
          <t>"Mexican steve"</t>
        </is>
      </c>
      <c r="AB393" t="inlineStr">
        <is>
          <t>Single</t>
        </is>
      </c>
      <c r="AC393" s="5">
        <f>IF(ISNUMBER(V393),Q393,"")</f>
        <v/>
      </c>
      <c r="AD393">
        <f>IF(ISNUMBER(W393),R393,"")</f>
        <v/>
      </c>
    </row>
    <row r="394">
      <c r="A394" t="inlineStr">
        <is>
          <t>T-855383a</t>
        </is>
      </c>
      <c r="B394" t="inlineStr">
        <is>
          <t>Trent</t>
        </is>
      </c>
      <c r="C394" s="2" t="n">
        <v>46294.51489583333</v>
      </c>
      <c r="D394">
        <f>IF(C394="","",TEXT(C394,"dddd"))</f>
        <v/>
      </c>
      <c r="E394" s="3" t="n">
        <v>46294</v>
      </c>
      <c r="F394">
        <f>IF(E394="","",TEXT(E394,"dddd"))</f>
        <v/>
      </c>
      <c r="G394" t="inlineStr">
        <is>
          <t>2:00 PM</t>
        </is>
      </c>
      <c r="H394" t="inlineStr">
        <is>
          <t>N</t>
        </is>
      </c>
      <c r="I394" t="inlineStr"/>
      <c r="J394" t="inlineStr">
        <is>
          <t>MLB</t>
        </is>
      </c>
      <c r="K394" t="inlineStr">
        <is>
          <t>MLB</t>
        </is>
      </c>
      <c r="L394" t="inlineStr">
        <is>
          <t>spread</t>
        </is>
      </c>
      <c r="M394" t="inlineStr">
        <is>
          <t>Atlanta Braves -1.5 vs Phillies (WC G1)</t>
        </is>
      </c>
      <c r="N394" t="n">
        <v>1</v>
      </c>
      <c r="O394" t="inlineStr">
        <is>
          <t>+120</t>
        </is>
      </c>
      <c r="P394" s="4" t="n">
        <v>2.2</v>
      </c>
      <c r="Q394" s="5" t="inlineStr"/>
      <c r="R394" t="n">
        <v>2</v>
      </c>
      <c r="S394" s="5" t="inlineStr"/>
      <c r="T394" t="inlineStr">
        <is>
          <t>not shown</t>
        </is>
      </c>
      <c r="U394" t="inlineStr">
        <is>
          <t>W</t>
        </is>
      </c>
      <c r="V394" s="5">
        <f>IF(NOT(ISNUMBER(Q394)),"",IF(U394="W",IF(ISNUMBER(S394),S394-Q394,IF(ISNUMBER(P394),Q394*(P394-1),"")),IF(U394="L",-Q394,IF(U394="Push",0,""))))</f>
        <v/>
      </c>
      <c r="W394">
        <f>IF(NOT(ISNUMBER(R394)),"",IF(U394="W",IF(ISNUMBER(P394),R394*(P394-1),""),IF(U394="L",-R394,IF(U394="Push",0,""))))</f>
        <v/>
      </c>
      <c r="X394" t="inlineStr">
        <is>
          <t>graded from final</t>
        </is>
      </c>
      <c r="Y394" t="inlineStr">
        <is>
          <t>N</t>
        </is>
      </c>
      <c r="Z394" t="inlineStr">
        <is>
          <t>https://x.com/BookitWithTrent/status/2104984918551855383</t>
        </is>
      </c>
      <c r="AA394" t="inlineStr">
        <is>
          <t>"MLB Playoff Mortal Megas" 2u each</t>
        </is>
      </c>
      <c r="AB394" t="inlineStr">
        <is>
          <t>Single</t>
        </is>
      </c>
      <c r="AC394" s="5">
        <f>IF(ISNUMBER(V394),Q394,"")</f>
        <v/>
      </c>
      <c r="AD394">
        <f>IF(ISNUMBER(W394),R394,"")</f>
        <v/>
      </c>
    </row>
    <row r="395">
      <c r="A395" t="inlineStr">
        <is>
          <t>T-855383b</t>
        </is>
      </c>
      <c r="B395" t="inlineStr">
        <is>
          <t>Trent</t>
        </is>
      </c>
      <c r="C395" s="2" t="n">
        <v>46294.51489583333</v>
      </c>
      <c r="D395">
        <f>IF(C395="","",TEXT(C395,"dddd"))</f>
        <v/>
      </c>
      <c r="E395" s="3" t="n">
        <v>46294</v>
      </c>
      <c r="F395">
        <f>IF(E395="","",TEXT(E395,"dddd"))</f>
        <v/>
      </c>
      <c r="G395" t="inlineStr">
        <is>
          <t>5:00 PM</t>
        </is>
      </c>
      <c r="H395" t="inlineStr">
        <is>
          <t>N</t>
        </is>
      </c>
      <c r="I395" t="inlineStr"/>
      <c r="J395" t="inlineStr">
        <is>
          <t>MLB</t>
        </is>
      </c>
      <c r="K395" t="inlineStr">
        <is>
          <t>MLB</t>
        </is>
      </c>
      <c r="L395" t="inlineStr">
        <is>
          <t>ML</t>
        </is>
      </c>
      <c r="M395" t="inlineStr">
        <is>
          <t>Houston Astros ML vs White Sox (WC G1)</t>
        </is>
      </c>
      <c r="N395" t="n">
        <v>1</v>
      </c>
      <c r="O395" t="inlineStr">
        <is>
          <t>-130</t>
        </is>
      </c>
      <c r="P395" s="4" t="n">
        <v>1.7692</v>
      </c>
      <c r="Q395" s="5" t="inlineStr"/>
      <c r="R395" t="n">
        <v>2</v>
      </c>
      <c r="S395" s="5" t="inlineStr"/>
      <c r="T395" t="inlineStr">
        <is>
          <t>not shown</t>
        </is>
      </c>
      <c r="U395" t="inlineStr">
        <is>
          <t>L</t>
        </is>
      </c>
      <c r="V395" s="5">
        <f>IF(NOT(ISNUMBER(Q395)),"",IF(U395="W",IF(ISNUMBER(S395),S395-Q395,IF(ISNUMBER(P395),Q395*(P395-1),"")),IF(U395="L",-Q395,IF(U395="Push",0,""))))</f>
        <v/>
      </c>
      <c r="W395">
        <f>IF(NOT(ISNUMBER(R395)),"",IF(U395="W",IF(ISNUMBER(P395),R395*(P395-1),""),IF(U395="L",-R395,IF(U395="Push",0,""))))</f>
        <v/>
      </c>
      <c r="X395" t="inlineStr">
        <is>
          <t>graded from final</t>
        </is>
      </c>
      <c r="Y395" t="inlineStr">
        <is>
          <t>N</t>
        </is>
      </c>
      <c r="Z395" t="inlineStr">
        <is>
          <t>https://x.com/BookitWithTrent/status/2104984918551855383</t>
        </is>
      </c>
      <c r="AA395" t="inlineStr">
        <is>
          <t>"MLB Playoff Mortal Megas" 2u</t>
        </is>
      </c>
      <c r="AB395" t="inlineStr">
        <is>
          <t>Single</t>
        </is>
      </c>
      <c r="AC395" s="5">
        <f>IF(ISNUMBER(V395),Q395,"")</f>
        <v/>
      </c>
      <c r="AD395">
        <f>IF(ISNUMBER(W395),R395,"")</f>
        <v/>
      </c>
    </row>
    <row r="396">
      <c r="A396" t="inlineStr">
        <is>
          <t>T-855383c</t>
        </is>
      </c>
      <c r="B396" t="inlineStr">
        <is>
          <t>Trent</t>
        </is>
      </c>
      <c r="C396" s="2" t="n">
        <v>46294.51489583333</v>
      </c>
      <c r="D396">
        <f>IF(C396="","",TEXT(C396,"dddd"))</f>
        <v/>
      </c>
      <c r="E396" s="3" t="n">
        <v>46294</v>
      </c>
      <c r="F396">
        <f>IF(E396="","",TEXT(E396,"dddd"))</f>
        <v/>
      </c>
      <c r="G396" t="inlineStr">
        <is>
          <t>8:00 PM</t>
        </is>
      </c>
      <c r="H396" t="inlineStr">
        <is>
          <t>N</t>
        </is>
      </c>
      <c r="I396" t="inlineStr"/>
      <c r="J396" t="inlineStr">
        <is>
          <t>MLB</t>
        </is>
      </c>
      <c r="K396" t="inlineStr">
        <is>
          <t>MLB</t>
        </is>
      </c>
      <c r="L396" t="inlineStr">
        <is>
          <t>ML</t>
        </is>
      </c>
      <c r="M396" t="inlineStr">
        <is>
          <t>New York Yankees ML vs Red Sox (WC G1)</t>
        </is>
      </c>
      <c r="N396" t="n">
        <v>1</v>
      </c>
      <c r="O396" t="inlineStr">
        <is>
          <t>-130</t>
        </is>
      </c>
      <c r="P396" s="4" t="n">
        <v>1.7692</v>
      </c>
      <c r="Q396" s="5" t="inlineStr"/>
      <c r="R396" t="n">
        <v>2</v>
      </c>
      <c r="S396" s="5" t="inlineStr"/>
      <c r="T396" t="inlineStr">
        <is>
          <t>not shown</t>
        </is>
      </c>
      <c r="U396" t="inlineStr">
        <is>
          <t>W</t>
        </is>
      </c>
      <c r="V396" s="5">
        <f>IF(NOT(ISNUMBER(Q396)),"",IF(U396="W",IF(ISNUMBER(S396),S396-Q396,IF(ISNUMBER(P396),Q396*(P396-1),"")),IF(U396="L",-Q396,IF(U396="Push",0,""))))</f>
        <v/>
      </c>
      <c r="W396">
        <f>IF(NOT(ISNUMBER(R396)),"",IF(U396="W",IF(ISNUMBER(P396),R396*(P396-1),""),IF(U396="L",-R396,IF(U396="Push",0,""))))</f>
        <v/>
      </c>
      <c r="X396" t="inlineStr">
        <is>
          <t>graded from final</t>
        </is>
      </c>
      <c r="Y396" t="inlineStr">
        <is>
          <t>N</t>
        </is>
      </c>
      <c r="Z396" t="inlineStr">
        <is>
          <t>https://x.com/BookitWithTrent/status/2104984918551855383</t>
        </is>
      </c>
      <c r="AA396" t="inlineStr">
        <is>
          <t>"MLB Playoff Mortal Megas" 2u</t>
        </is>
      </c>
      <c r="AB396" t="inlineStr">
        <is>
          <t>Single</t>
        </is>
      </c>
      <c r="AC396" s="5">
        <f>IF(ISNUMBER(V396),Q396,"")</f>
        <v/>
      </c>
      <c r="AD396">
        <f>IF(ISNUMBER(W396),R396,"")</f>
        <v/>
      </c>
    </row>
    <row r="397">
      <c r="A397" t="inlineStr">
        <is>
          <t>T-855383d</t>
        </is>
      </c>
      <c r="B397" t="inlineStr">
        <is>
          <t>Trent</t>
        </is>
      </c>
      <c r="C397" s="2" t="n">
        <v>46294.51489583333</v>
      </c>
      <c r="D397">
        <f>IF(C397="","",TEXT(C397,"dddd"))</f>
        <v/>
      </c>
      <c r="E397" s="3" t="n">
        <v>46294</v>
      </c>
      <c r="F397">
        <f>IF(E397="","",TEXT(E397,"dddd"))</f>
        <v/>
      </c>
      <c r="G397" t="inlineStr">
        <is>
          <t>10:00 PM</t>
        </is>
      </c>
      <c r="H397" t="inlineStr">
        <is>
          <t>N</t>
        </is>
      </c>
      <c r="I397" t="inlineStr"/>
      <c r="J397" t="inlineStr">
        <is>
          <t>MLB</t>
        </is>
      </c>
      <c r="K397" t="inlineStr">
        <is>
          <t>MLB</t>
        </is>
      </c>
      <c r="L397" t="inlineStr">
        <is>
          <t>ML</t>
        </is>
      </c>
      <c r="M397" t="inlineStr">
        <is>
          <t>San Diego Padres ML vs Cubs (WC G1)</t>
        </is>
      </c>
      <c r="N397" t="n">
        <v>1</v>
      </c>
      <c r="O397" t="inlineStr">
        <is>
          <t>-125</t>
        </is>
      </c>
      <c r="P397" s="4" t="n">
        <v>1.8</v>
      </c>
      <c r="Q397" s="5" t="inlineStr"/>
      <c r="R397" t="n">
        <v>2</v>
      </c>
      <c r="S397" s="5" t="inlineStr"/>
      <c r="T397" t="inlineStr">
        <is>
          <t>not shown</t>
        </is>
      </c>
      <c r="U397" t="inlineStr">
        <is>
          <t>W</t>
        </is>
      </c>
      <c r="V397" s="5">
        <f>IF(NOT(ISNUMBER(Q397)),"",IF(U397="W",IF(ISNUMBER(S397),S397-Q397,IF(ISNUMBER(P397),Q397*(P397-1),"")),IF(U397="L",-Q397,IF(U397="Push",0,""))))</f>
        <v/>
      </c>
      <c r="W397">
        <f>IF(NOT(ISNUMBER(R397)),"",IF(U397="W",IF(ISNUMBER(P397),R397*(P397-1),""),IF(U397="L",-R397,IF(U397="Push",0,""))))</f>
        <v/>
      </c>
      <c r="X397" t="inlineStr">
        <is>
          <t>graded from final</t>
        </is>
      </c>
      <c r="Y397" t="inlineStr">
        <is>
          <t>N</t>
        </is>
      </c>
      <c r="Z397" t="inlineStr">
        <is>
          <t>https://x.com/BookitWithTrent/status/2104984918551855383</t>
        </is>
      </c>
      <c r="AA397" t="inlineStr">
        <is>
          <t>"MLB Playoff Mortal Megas" 2u</t>
        </is>
      </c>
      <c r="AB397" t="inlineStr">
        <is>
          <t>Single</t>
        </is>
      </c>
      <c r="AC397" s="5">
        <f>IF(ISNUMBER(V397),Q397,"")</f>
        <v/>
      </c>
      <c r="AD397">
        <f>IF(ISNUMBER(W397),R397,"")</f>
        <v/>
      </c>
    </row>
    <row r="398">
      <c r="A398" t="inlineStr">
        <is>
          <t>T-855383e</t>
        </is>
      </c>
      <c r="B398" t="inlineStr">
        <is>
          <t>Trent</t>
        </is>
      </c>
      <c r="C398" s="2" t="n">
        <v>46294.51489583333</v>
      </c>
      <c r="D398">
        <f>IF(C398="","",TEXT(C398,"dddd"))</f>
        <v/>
      </c>
      <c r="E398" s="3" t="n">
        <v>46294</v>
      </c>
      <c r="F398">
        <f>IF(E398="","",TEXT(E398,"dddd"))</f>
        <v/>
      </c>
      <c r="G398" t="inlineStr">
        <is>
          <t>10:00 PM</t>
        </is>
      </c>
      <c r="H398" t="inlineStr">
        <is>
          <t>N</t>
        </is>
      </c>
      <c r="I398" t="inlineStr"/>
      <c r="J398" t="inlineStr">
        <is>
          <t>MLB</t>
        </is>
      </c>
      <c r="K398" t="inlineStr">
        <is>
          <t>MLB</t>
        </is>
      </c>
      <c r="L398" t="inlineStr">
        <is>
          <t>parlay</t>
        </is>
      </c>
      <c r="M398" t="inlineStr">
        <is>
          <t>Braves ML; Astros ML; Yankees ML; Padres ML</t>
        </is>
      </c>
      <c r="N398" t="n">
        <v>4</v>
      </c>
      <c r="O398" t="inlineStr">
        <is>
          <t>+800</t>
        </is>
      </c>
      <c r="P398" s="4" t="n">
        <v>9</v>
      </c>
      <c r="Q398" s="5" t="inlineStr"/>
      <c r="R398" t="n">
        <v>1</v>
      </c>
      <c r="S398" s="5" t="inlineStr"/>
      <c r="T398" t="inlineStr">
        <is>
          <t>not shown</t>
        </is>
      </c>
      <c r="U398" t="inlineStr">
        <is>
          <t>L</t>
        </is>
      </c>
      <c r="V398" s="5">
        <f>IF(NOT(ISNUMBER(Q398)),"",IF(U398="W",IF(ISNUMBER(S398),S398-Q398,IF(ISNUMBER(P398),Q398*(P398-1),"")),IF(U398="L",-Q398,IF(U398="Push",0,""))))</f>
        <v/>
      </c>
      <c r="W398">
        <f>IF(NOT(ISNUMBER(R398)),"",IF(U398="W",IF(ISNUMBER(P398),R398*(P398-1),""),IF(U398="L",-R398,IF(U398="Push",0,""))))</f>
        <v/>
      </c>
      <c r="X398" t="inlineStr">
        <is>
          <t>graded from final</t>
        </is>
      </c>
      <c r="Y398" t="inlineStr">
        <is>
          <t>N</t>
        </is>
      </c>
      <c r="Z398" t="inlineStr">
        <is>
          <t>https://x.com/BookitWithTrent/status/2104984918551855383</t>
        </is>
      </c>
      <c r="AA398" t="inlineStr">
        <is>
          <t>"1u ML parlay +800"</t>
        </is>
      </c>
      <c r="AB398" t="inlineStr">
        <is>
          <t>Parlay/multi-leg</t>
        </is>
      </c>
      <c r="AC398" s="5">
        <f>IF(ISNUMBER(V398),Q398,"")</f>
        <v/>
      </c>
      <c r="AD398">
        <f>IF(ISNUMBER(W398),R398,"")</f>
        <v/>
      </c>
    </row>
    <row r="399">
      <c r="A399" t="inlineStr">
        <is>
          <t>S-725589</t>
        </is>
      </c>
      <c r="B399" t="inlineStr">
        <is>
          <t>Steve</t>
        </is>
      </c>
      <c r="C399" s="2" t="n">
        <v>46294.68017361111</v>
      </c>
      <c r="D399">
        <f>IF(C399="","",TEXT(C399,"dddd"))</f>
        <v/>
      </c>
      <c r="E399" s="3" t="n">
        <v>46294</v>
      </c>
      <c r="F399">
        <f>IF(E399="","",TEXT(E399,"dddd"))</f>
        <v/>
      </c>
      <c r="G399" t="inlineStr">
        <is>
          <t>5:00 PM</t>
        </is>
      </c>
      <c r="H399" t="inlineStr">
        <is>
          <t>N</t>
        </is>
      </c>
      <c r="I399" t="inlineStr"/>
      <c r="J399" t="inlineStr">
        <is>
          <t>MLB</t>
        </is>
      </c>
      <c r="K399" t="inlineStr">
        <is>
          <t>MLB</t>
        </is>
      </c>
      <c r="L399" t="inlineStr">
        <is>
          <t>ML</t>
        </is>
      </c>
      <c r="M399" t="inlineStr">
        <is>
          <t>Houston Astros ML vs Chicago White Sox (WC G1)</t>
        </is>
      </c>
      <c r="N399" t="n">
        <v>1</v>
      </c>
      <c r="O399" t="inlineStr">
        <is>
          <t>-120</t>
        </is>
      </c>
      <c r="P399" s="4" t="n">
        <v>1.8333</v>
      </c>
      <c r="Q399" s="5" t="n">
        <v>100000</v>
      </c>
      <c r="R399" t="inlineStr"/>
      <c r="S399" s="5" t="n">
        <v>183000</v>
      </c>
      <c r="T399" t="inlineStr">
        <is>
          <t>Gamdom</t>
        </is>
      </c>
      <c r="U399" t="inlineStr">
        <is>
          <t>L</t>
        </is>
      </c>
      <c r="V399" s="5">
        <f>IF(NOT(ISNUMBER(Q399)),"",IF(U399="W",IF(ISNUMBER(S399),S399-Q399,IF(ISNUMBER(P399),Q399*(P399-1),"")),IF(U399="L",-Q399,IF(U399="Push",0,""))))</f>
        <v/>
      </c>
      <c r="W399">
        <f>IF(NOT(ISNUMBER(R399)),"",IF(U399="W",IF(ISNUMBER(P399),R399*(P399-1),""),IF(U399="L",-R399,IF(U399="Push",0,""))))</f>
        <v/>
      </c>
      <c r="X399" t="inlineStr">
        <is>
          <t>graded from final</t>
        </is>
      </c>
      <c r="Y399" t="inlineStr">
        <is>
          <t>Y - tags Gamdom</t>
        </is>
      </c>
      <c r="Z399" t="inlineStr">
        <is>
          <t>https://x.com/stevewilldoit/status/2105044810616725589</t>
        </is>
      </c>
      <c r="AA399" t="inlineStr">
        <is>
          <t>"I'm fading Danny's baby"</t>
        </is>
      </c>
      <c r="AB399" t="inlineStr">
        <is>
          <t>Single</t>
        </is>
      </c>
      <c r="AC399" s="5">
        <f>IF(ISNUMBER(V399),Q399,"")</f>
        <v/>
      </c>
      <c r="AD399">
        <f>IF(ISNUMBER(W399),R399,"")</f>
        <v/>
      </c>
    </row>
    <row r="400">
      <c r="A400" t="inlineStr">
        <is>
          <t>S-453980</t>
        </is>
      </c>
      <c r="B400" t="inlineStr">
        <is>
          <t>Steve</t>
        </is>
      </c>
      <c r="C400" s="2" t="n">
        <v>46294.75362268519</v>
      </c>
      <c r="D400">
        <f>IF(C400="","",TEXT(C400,"dddd"))</f>
        <v/>
      </c>
      <c r="E400" s="3" t="n">
        <v>46294</v>
      </c>
      <c r="F400">
        <f>IF(E400="","",TEXT(E400,"dddd"))</f>
        <v/>
      </c>
      <c r="G400" t="inlineStr">
        <is>
          <t>8:00 PM</t>
        </is>
      </c>
      <c r="H400" t="inlineStr">
        <is>
          <t>N</t>
        </is>
      </c>
      <c r="I400" t="inlineStr"/>
      <c r="J400" t="inlineStr">
        <is>
          <t>MLB</t>
        </is>
      </c>
      <c r="K400" t="inlineStr">
        <is>
          <t>MLB</t>
        </is>
      </c>
      <c r="L400" t="inlineStr">
        <is>
          <t>total</t>
        </is>
      </c>
      <c r="M400" t="inlineStr">
        <is>
          <t>Yankees/Red Sox F5 Under 3 (WC G1)</t>
        </is>
      </c>
      <c r="N400" t="n">
        <v>1</v>
      </c>
      <c r="O400" t="inlineStr">
        <is>
          <t>-110</t>
        </is>
      </c>
      <c r="P400" s="4" t="n">
        <v>1.9091</v>
      </c>
      <c r="Q400" s="5" t="n">
        <v>40000</v>
      </c>
      <c r="R400" t="inlineStr"/>
      <c r="S400" s="5" t="n">
        <v>76400</v>
      </c>
      <c r="T400" t="inlineStr">
        <is>
          <t>Gamdom</t>
        </is>
      </c>
      <c r="U400" t="inlineStr">
        <is>
          <t>W</t>
        </is>
      </c>
      <c r="V400" s="5">
        <f>IF(NOT(ISNUMBER(Q400)),"",IF(U400="W",IF(ISNUMBER(S400),S400-Q400,IF(ISNUMBER(P400),Q400*(P400-1),"")),IF(U400="L",-Q400,IF(U400="Push",0,""))))</f>
        <v/>
      </c>
      <c r="W400">
        <f>IF(NOT(ISNUMBER(R400)),"",IF(U400="W",IF(ISNUMBER(P400),R400*(P400-1),""),IF(U400="L",-R400,IF(U400="Push",0,""))))</f>
        <v/>
      </c>
      <c r="X400" t="inlineStr">
        <is>
          <t>graded from final</t>
        </is>
      </c>
      <c r="Y400" t="inlineStr">
        <is>
          <t>Y - tags Gamdom</t>
        </is>
      </c>
      <c r="Z400" t="inlineStr">
        <is>
          <t>https://x.com/stevewilldoit/status/2105071427934453980</t>
        </is>
      </c>
      <c r="AA400" t="inlineStr">
        <is>
          <t>AI guy pick</t>
        </is>
      </c>
      <c r="AB400" t="inlineStr">
        <is>
          <t>Single</t>
        </is>
      </c>
      <c r="AC400" s="5">
        <f>IF(ISNUMBER(V400),Q400,"")</f>
        <v/>
      </c>
      <c r="AD400">
        <f>IF(ISNUMBER(W400),R400,"")</f>
        <v/>
      </c>
    </row>
    <row r="401">
      <c r="A401" t="inlineStr">
        <is>
          <t>S-595777</t>
        </is>
      </c>
      <c r="B401" t="inlineStr">
        <is>
          <t>Steve</t>
        </is>
      </c>
      <c r="C401" s="2" t="n">
        <v>46294.75408564815</v>
      </c>
      <c r="D401">
        <f>IF(C401="","",TEXT(C401,"dddd"))</f>
        <v/>
      </c>
      <c r="E401" s="3" t="n">
        <v>46294</v>
      </c>
      <c r="F401">
        <f>IF(E401="","",TEXT(E401,"dddd"))</f>
        <v/>
      </c>
      <c r="G401" t="inlineStr">
        <is>
          <t>not matched</t>
        </is>
      </c>
      <c r="H401" t="inlineStr">
        <is>
          <t>N</t>
        </is>
      </c>
      <c r="I401" t="inlineStr"/>
      <c r="J401" t="inlineStr">
        <is>
          <t>MLB</t>
        </is>
      </c>
      <c r="K401" t="inlineStr">
        <is>
          <t>MLB</t>
        </is>
      </c>
      <c r="L401" t="inlineStr">
        <is>
          <t>parlay</t>
        </is>
      </c>
      <c r="M401" t="inlineStr">
        <is>
          <t>New York Yankees ML vs Red Sox; Padres/Cubs handicap (selection cut off)</t>
        </is>
      </c>
      <c r="N401" t="n">
        <v>2</v>
      </c>
      <c r="O401" t="inlineStr">
        <is>
          <t>+192</t>
        </is>
      </c>
      <c r="P401" s="4" t="n">
        <v>2.92</v>
      </c>
      <c r="Q401" s="5" t="n">
        <v>50000</v>
      </c>
      <c r="R401" t="inlineStr"/>
      <c r="S401" s="5" t="n">
        <v>146000</v>
      </c>
      <c r="T401" t="inlineStr">
        <is>
          <t>Gamdom</t>
        </is>
      </c>
      <c r="U401" t="inlineStr">
        <is>
          <t>Unknown</t>
        </is>
      </c>
      <c r="V401" s="5">
        <f>IF(NOT(ISNUMBER(Q401)),"",IF(U401="W",IF(ISNUMBER(S401),S401-Q401,IF(ISNUMBER(P401),Q401*(P401-1),"")),IF(U401="L",-Q401,IF(U401="Push",0,""))))</f>
        <v/>
      </c>
      <c r="W401">
        <f>IF(NOT(ISNUMBER(R401)),"",IF(U401="W",IF(ISNUMBER(P401),R401*(P401-1),""),IF(U401="L",-R401,IF(U401="Push",0,""))))</f>
        <v/>
      </c>
      <c r="X401" t="inlineStr">
        <is>
          <t>unverified</t>
        </is>
      </c>
      <c r="Y401" t="inlineStr">
        <is>
          <t>Y - tags Gamdom</t>
        </is>
      </c>
      <c r="Z401" t="inlineStr">
        <is>
          <t>https://x.com/stevewilldoit/status/2105071596570595777</t>
        </is>
      </c>
      <c r="AA401" t="inlineStr">
        <is>
          <t>6ix9ine "Yankees and cubs"</t>
        </is>
      </c>
      <c r="AB401" t="inlineStr">
        <is>
          <t>Parlay/multi-leg</t>
        </is>
      </c>
      <c r="AC401" s="5">
        <f>IF(ISNUMBER(V401),Q401,"")</f>
        <v/>
      </c>
      <c r="AD401">
        <f>IF(ISNUMBER(W401),R401,"")</f>
        <v/>
      </c>
    </row>
    <row r="402">
      <c r="A402" t="inlineStr">
        <is>
          <t>S-595777b</t>
        </is>
      </c>
      <c r="B402" t="inlineStr">
        <is>
          <t>Steve</t>
        </is>
      </c>
      <c r="C402" s="2" t="n">
        <v>46294.75408564815</v>
      </c>
      <c r="D402">
        <f>IF(C402="","",TEXT(C402,"dddd"))</f>
        <v/>
      </c>
      <c r="E402" s="3" t="n">
        <v>46294</v>
      </c>
      <c r="F402">
        <f>IF(E402="","",TEXT(E402,"dddd"))</f>
        <v/>
      </c>
      <c r="G402" t="inlineStr">
        <is>
          <t>10:00 PM</t>
        </is>
      </c>
      <c r="H402" t="inlineStr">
        <is>
          <t>N</t>
        </is>
      </c>
      <c r="I402" t="inlineStr"/>
      <c r="J402" t="inlineStr">
        <is>
          <t>MLB</t>
        </is>
      </c>
      <c r="K402" t="inlineStr">
        <is>
          <t>MLB</t>
        </is>
      </c>
      <c r="L402" t="inlineStr">
        <is>
          <t>ML</t>
        </is>
      </c>
      <c r="M402" t="inlineStr">
        <is>
          <t>Chicago Cubs ML vs San Diego Padres (WC G1)</t>
        </is>
      </c>
      <c r="N402" t="n">
        <v>1</v>
      </c>
      <c r="O402" t="inlineStr">
        <is>
          <t>+104</t>
        </is>
      </c>
      <c r="P402" s="4" t="n">
        <v>2.04</v>
      </c>
      <c r="Q402" s="5" t="n">
        <v>75000</v>
      </c>
      <c r="R402" t="inlineStr"/>
      <c r="S402" s="5" t="n">
        <v>153000</v>
      </c>
      <c r="T402" t="inlineStr">
        <is>
          <t>Gamdom</t>
        </is>
      </c>
      <c r="U402" t="inlineStr">
        <is>
          <t>L</t>
        </is>
      </c>
      <c r="V402" s="5">
        <f>IF(NOT(ISNUMBER(Q402)),"",IF(U402="W",IF(ISNUMBER(S402),S402-Q402,IF(ISNUMBER(P402),Q402*(P402-1),"")),IF(U402="L",-Q402,IF(U402="Push",0,""))))</f>
        <v/>
      </c>
      <c r="W402">
        <f>IF(NOT(ISNUMBER(R402)),"",IF(U402="W",IF(ISNUMBER(P402),R402*(P402-1),""),IF(U402="L",-R402,IF(U402="Push",0,""))))</f>
        <v/>
      </c>
      <c r="X402" t="inlineStr">
        <is>
          <t>graded from final</t>
        </is>
      </c>
      <c r="Y402" t="inlineStr">
        <is>
          <t>Y - tags Gamdom</t>
        </is>
      </c>
      <c r="Z402" t="inlineStr">
        <is>
          <t>https://x.com/stevewilldoit/status/2105071596570595777</t>
        </is>
      </c>
      <c r="AA402" t="inlineStr">
        <is>
          <t>6ix9ine pick</t>
        </is>
      </c>
      <c r="AB402" t="inlineStr">
        <is>
          <t>Single</t>
        </is>
      </c>
      <c r="AC402" s="5">
        <f>IF(ISNUMBER(V402),Q402,"")</f>
        <v/>
      </c>
      <c r="AD402">
        <f>IF(ISNUMBER(W402),R402,"")</f>
        <v/>
      </c>
    </row>
    <row r="403">
      <c r="A403" t="inlineStr">
        <is>
          <t>S-394618</t>
        </is>
      </c>
      <c r="B403" t="inlineStr">
        <is>
          <t>Steve</t>
        </is>
      </c>
      <c r="C403" s="2" t="n">
        <v>46294.77280092592</v>
      </c>
      <c r="D403">
        <f>IF(C403="","",TEXT(C403,"dddd"))</f>
        <v/>
      </c>
      <c r="E403" s="3" t="n">
        <v>46294</v>
      </c>
      <c r="F403">
        <f>IF(E403="","",TEXT(E403,"dddd"))</f>
        <v/>
      </c>
      <c r="G403" t="inlineStr">
        <is>
          <t>10:00 PM</t>
        </is>
      </c>
      <c r="H403" t="inlineStr">
        <is>
          <t>N</t>
        </is>
      </c>
      <c r="I403" t="inlineStr"/>
      <c r="J403" t="inlineStr">
        <is>
          <t>MLB</t>
        </is>
      </c>
      <c r="K403" t="inlineStr">
        <is>
          <t>MLB</t>
        </is>
      </c>
      <c r="L403" t="inlineStr">
        <is>
          <t>parlay</t>
        </is>
      </c>
      <c r="M403" t="inlineStr">
        <is>
          <t>New York Yankees ML vs Red Sox; Padres/Cubs winner (selection cut off; "Need Yankees and cubs")</t>
        </is>
      </c>
      <c r="N403" t="n">
        <v>2</v>
      </c>
      <c r="O403" t="inlineStr">
        <is>
          <t>+259</t>
        </is>
      </c>
      <c r="P403" s="4" t="n">
        <v>3.59</v>
      </c>
      <c r="Q403" s="5" t="n">
        <v>40000</v>
      </c>
      <c r="R403" t="inlineStr"/>
      <c r="S403" s="5" t="n">
        <v>143600</v>
      </c>
      <c r="T403" t="inlineStr">
        <is>
          <t>Gamdom</t>
        </is>
      </c>
      <c r="U403" t="inlineStr">
        <is>
          <t>L</t>
        </is>
      </c>
      <c r="V403" s="5">
        <f>IF(NOT(ISNUMBER(Q403)),"",IF(U403="W",IF(ISNUMBER(S403),S403-Q403,IF(ISNUMBER(P403),Q403*(P403-1),"")),IF(U403="L",-Q403,IF(U403="Push",0,""))))</f>
        <v/>
      </c>
      <c r="W403">
        <f>IF(NOT(ISNUMBER(R403)),"",IF(U403="W",IF(ISNUMBER(P403),R403*(P403-1),""),IF(U403="L",-R403,IF(U403="Push",0,""))))</f>
        <v/>
      </c>
      <c r="X403" t="inlineStr">
        <is>
          <t>graded from final</t>
        </is>
      </c>
      <c r="Y403" t="inlineStr">
        <is>
          <t>N</t>
        </is>
      </c>
      <c r="Z403" t="inlineStr">
        <is>
          <t>https://x.com/stevewilldoit/status/2105078376503394618</t>
        </is>
      </c>
      <c r="AA403" t="inlineStr">
        <is>
          <t>"Adding more"</t>
        </is>
      </c>
      <c r="AB403" t="inlineStr">
        <is>
          <t>Parlay/multi-leg</t>
        </is>
      </c>
      <c r="AC403" s="5">
        <f>IF(ISNUMBER(V403),Q403,"")</f>
        <v/>
      </c>
      <c r="AD403">
        <f>IF(ISNUMBER(W403),R403,"")</f>
        <v/>
      </c>
    </row>
    <row r="404">
      <c r="A404" t="inlineStr">
        <is>
          <t>S-822296</t>
        </is>
      </c>
      <c r="B404" t="inlineStr">
        <is>
          <t>Steve</t>
        </is>
      </c>
      <c r="C404" s="2" t="n">
        <v>46294.77396990741</v>
      </c>
      <c r="D404">
        <f>IF(C404="","",TEXT(C404,"dddd"))</f>
        <v/>
      </c>
      <c r="E404" s="3" t="n">
        <v>46294</v>
      </c>
      <c r="F404">
        <f>IF(E404="","",TEXT(E404,"dddd"))</f>
        <v/>
      </c>
      <c r="G404" t="inlineStr">
        <is>
          <t>8:00 PM</t>
        </is>
      </c>
      <c r="H404" t="inlineStr">
        <is>
          <t>N</t>
        </is>
      </c>
      <c r="I404" t="inlineStr"/>
      <c r="J404" t="inlineStr">
        <is>
          <t>MLB</t>
        </is>
      </c>
      <c r="K404" t="inlineStr">
        <is>
          <t>MLB</t>
        </is>
      </c>
      <c r="L404" t="inlineStr">
        <is>
          <t>ML</t>
        </is>
      </c>
      <c r="M404" t="inlineStr">
        <is>
          <t>New York Yankees ML vs Boston Red Sox (WC G1)</t>
        </is>
      </c>
      <c r="N404" t="n">
        <v>1</v>
      </c>
      <c r="O404" t="inlineStr">
        <is>
          <t>-139</t>
        </is>
      </c>
      <c r="P404" s="4" t="n">
        <v>1.7194</v>
      </c>
      <c r="Q404" s="5" t="n">
        <v>47000</v>
      </c>
      <c r="R404" t="inlineStr"/>
      <c r="S404" s="5" t="n">
        <v>80840</v>
      </c>
      <c r="T404" t="inlineStr">
        <is>
          <t>Gamdom</t>
        </is>
      </c>
      <c r="U404" t="inlineStr">
        <is>
          <t>W</t>
        </is>
      </c>
      <c r="V404" s="5">
        <f>IF(NOT(ISNUMBER(Q404)),"",IF(U404="W",IF(ISNUMBER(S404),S404-Q404,IF(ISNUMBER(P404),Q404*(P404-1),"")),IF(U404="L",-Q404,IF(U404="Push",0,""))))</f>
        <v/>
      </c>
      <c r="W404">
        <f>IF(NOT(ISNUMBER(R404)),"",IF(U404="W",IF(ISNUMBER(P404),R404*(P404-1),""),IF(U404="L",-R404,IF(U404="Push",0,""))))</f>
        <v/>
      </c>
      <c r="X404" t="inlineStr">
        <is>
          <t>graded from final</t>
        </is>
      </c>
      <c r="Y404" t="inlineStr">
        <is>
          <t>Y - tags Gamdom</t>
        </is>
      </c>
      <c r="Z404" t="inlineStr">
        <is>
          <t>https://x.com/stevewilldoit/status/2105078802598822296</t>
        </is>
      </c>
      <c r="AA404" t="inlineStr">
        <is>
          <t>"Last bet for today"</t>
        </is>
      </c>
      <c r="AB404" t="inlineStr">
        <is>
          <t>Single</t>
        </is>
      </c>
      <c r="AC404" s="5">
        <f>IF(ISNUMBER(V404),Q404,"")</f>
        <v/>
      </c>
      <c r="AD404">
        <f>IF(ISNUMBER(W404),R404,"")</f>
        <v/>
      </c>
    </row>
    <row r="405">
      <c r="A405" t="inlineStr">
        <is>
          <t>T-728830a</t>
        </is>
      </c>
      <c r="B405" t="inlineStr">
        <is>
          <t>Trent</t>
        </is>
      </c>
      <c r="C405" s="2" t="n">
        <v>46295.43658564815</v>
      </c>
      <c r="D405">
        <f>IF(C405="","",TEXT(C405,"dddd"))</f>
        <v/>
      </c>
      <c r="E405" s="3" t="n">
        <v>46295</v>
      </c>
      <c r="F405">
        <f>IF(E405="","",TEXT(E405,"dddd"))</f>
        <v/>
      </c>
      <c r="G405" t="inlineStr">
        <is>
          <t>2:00 PM</t>
        </is>
      </c>
      <c r="H405" t="inlineStr">
        <is>
          <t>N</t>
        </is>
      </c>
      <c r="I405" t="inlineStr"/>
      <c r="J405" t="inlineStr">
        <is>
          <t>MLB</t>
        </is>
      </c>
      <c r="K405" t="inlineStr">
        <is>
          <t>MLB</t>
        </is>
      </c>
      <c r="L405" t="inlineStr">
        <is>
          <t>ML</t>
        </is>
      </c>
      <c r="M405" t="inlineStr">
        <is>
          <t>Atlanta Braves ML vs Phillies (WC G2)</t>
        </is>
      </c>
      <c r="N405" t="n">
        <v>1</v>
      </c>
      <c r="O405" t="inlineStr">
        <is>
          <t>-105</t>
        </is>
      </c>
      <c r="P405" s="4" t="n">
        <v>1.9524</v>
      </c>
      <c r="Q405" s="5" t="inlineStr"/>
      <c r="R405" t="n">
        <v>2</v>
      </c>
      <c r="S405" s="5" t="inlineStr"/>
      <c r="T405" t="inlineStr">
        <is>
          <t>not shown</t>
        </is>
      </c>
      <c r="U405" t="inlineStr">
        <is>
          <t>L</t>
        </is>
      </c>
      <c r="V405" s="5">
        <f>IF(NOT(ISNUMBER(Q405)),"",IF(U405="W",IF(ISNUMBER(S405),S405-Q405,IF(ISNUMBER(P405),Q405*(P405-1),"")),IF(U405="L",-Q405,IF(U405="Push",0,""))))</f>
        <v/>
      </c>
      <c r="W405">
        <f>IF(NOT(ISNUMBER(R405)),"",IF(U405="W",IF(ISNUMBER(P405),R405*(P405-1),""),IF(U405="L",-R405,IF(U405="Push",0,""))))</f>
        <v/>
      </c>
      <c r="X405" t="inlineStr">
        <is>
          <t>graded from final</t>
        </is>
      </c>
      <c r="Y405" t="inlineStr">
        <is>
          <t>N</t>
        </is>
      </c>
      <c r="Z405" t="inlineStr">
        <is>
          <t>https://x.com/BookitWithTrent/status/2105318924061728830</t>
        </is>
      </c>
      <c r="AA405" t="inlineStr">
        <is>
          <t>"MLB PLAYOFF MORTAL MEGAS" 2u each</t>
        </is>
      </c>
      <c r="AB405" t="inlineStr">
        <is>
          <t>Single</t>
        </is>
      </c>
      <c r="AC405" s="5">
        <f>IF(ISNUMBER(V405),Q405,"")</f>
        <v/>
      </c>
      <c r="AD405">
        <f>IF(ISNUMBER(W405),R405,"")</f>
        <v/>
      </c>
    </row>
    <row r="406">
      <c r="A406" t="inlineStr">
        <is>
          <t>T-728830b</t>
        </is>
      </c>
      <c r="B406" t="inlineStr">
        <is>
          <t>Trent</t>
        </is>
      </c>
      <c r="C406" s="2" t="n">
        <v>46295.43658564815</v>
      </c>
      <c r="D406">
        <f>IF(C406="","",TEXT(C406,"dddd"))</f>
        <v/>
      </c>
      <c r="E406" s="3" t="n">
        <v>46295</v>
      </c>
      <c r="F406">
        <f>IF(E406="","",TEXT(E406,"dddd"))</f>
        <v/>
      </c>
      <c r="G406" t="inlineStr">
        <is>
          <t>5:00 PM</t>
        </is>
      </c>
      <c r="H406" t="inlineStr">
        <is>
          <t>N</t>
        </is>
      </c>
      <c r="I406" t="inlineStr"/>
      <c r="J406" t="inlineStr">
        <is>
          <t>MLB</t>
        </is>
      </c>
      <c r="K406" t="inlineStr">
        <is>
          <t>MLB</t>
        </is>
      </c>
      <c r="L406" t="inlineStr">
        <is>
          <t>ML</t>
        </is>
      </c>
      <c r="M406" t="inlineStr">
        <is>
          <t>Chicago White Sox ML vs Astros (WC G2)</t>
        </is>
      </c>
      <c r="N406" t="n">
        <v>1</v>
      </c>
      <c r="O406" t="inlineStr">
        <is>
          <t>+122</t>
        </is>
      </c>
      <c r="P406" s="4" t="n">
        <v>2.22</v>
      </c>
      <c r="Q406" s="5" t="inlineStr"/>
      <c r="R406" t="n">
        <v>2</v>
      </c>
      <c r="S406" s="5" t="inlineStr"/>
      <c r="T406" t="inlineStr">
        <is>
          <t>not shown</t>
        </is>
      </c>
      <c r="U406" t="inlineStr">
        <is>
          <t>W</t>
        </is>
      </c>
      <c r="V406" s="5">
        <f>IF(NOT(ISNUMBER(Q406)),"",IF(U406="W",IF(ISNUMBER(S406),S406-Q406,IF(ISNUMBER(P406),Q406*(P406-1),"")),IF(U406="L",-Q406,IF(U406="Push",0,""))))</f>
        <v/>
      </c>
      <c r="W406">
        <f>IF(NOT(ISNUMBER(R406)),"",IF(U406="W",IF(ISNUMBER(P406),R406*(P406-1),""),IF(U406="L",-R406,IF(U406="Push",0,""))))</f>
        <v/>
      </c>
      <c r="X406" t="inlineStr">
        <is>
          <t>graded from final</t>
        </is>
      </c>
      <c r="Y406" t="inlineStr">
        <is>
          <t>N</t>
        </is>
      </c>
      <c r="Z406" t="inlineStr">
        <is>
          <t>https://x.com/BookitWithTrent/status/2105318924061728830</t>
        </is>
      </c>
      <c r="AA406" t="inlineStr">
        <is>
          <t>2u</t>
        </is>
      </c>
      <c r="AB406" t="inlineStr">
        <is>
          <t>Single</t>
        </is>
      </c>
      <c r="AC406" s="5">
        <f>IF(ISNUMBER(V406),Q406,"")</f>
        <v/>
      </c>
      <c r="AD406">
        <f>IF(ISNUMBER(W406),R406,"")</f>
        <v/>
      </c>
    </row>
    <row r="407">
      <c r="A407" t="inlineStr">
        <is>
          <t>T-728830c</t>
        </is>
      </c>
      <c r="B407" t="inlineStr">
        <is>
          <t>Trent</t>
        </is>
      </c>
      <c r="C407" s="2" t="n">
        <v>46295.43658564815</v>
      </c>
      <c r="D407">
        <f>IF(C407="","",TEXT(C407,"dddd"))</f>
        <v/>
      </c>
      <c r="E407" s="3" t="n">
        <v>46295</v>
      </c>
      <c r="F407">
        <f>IF(E407="","",TEXT(E407,"dddd"))</f>
        <v/>
      </c>
      <c r="G407" t="inlineStr">
        <is>
          <t>8:00 PM</t>
        </is>
      </c>
      <c r="H407" t="inlineStr">
        <is>
          <t>N</t>
        </is>
      </c>
      <c r="I407" t="inlineStr"/>
      <c r="J407" t="inlineStr">
        <is>
          <t>MLB</t>
        </is>
      </c>
      <c r="K407" t="inlineStr">
        <is>
          <t>MLB</t>
        </is>
      </c>
      <c r="L407" t="inlineStr">
        <is>
          <t>ML</t>
        </is>
      </c>
      <c r="M407" t="inlineStr">
        <is>
          <t>New York Yankees ML vs Red Sox (WC G2)</t>
        </is>
      </c>
      <c r="N407" t="n">
        <v>1</v>
      </c>
      <c r="O407" t="inlineStr">
        <is>
          <t>-140</t>
        </is>
      </c>
      <c r="P407" s="4" t="n">
        <v>1.7143</v>
      </c>
      <c r="Q407" s="5" t="inlineStr"/>
      <c r="R407" t="n">
        <v>2</v>
      </c>
      <c r="S407" s="5" t="inlineStr"/>
      <c r="T407" t="inlineStr">
        <is>
          <t>not shown</t>
        </is>
      </c>
      <c r="U407" t="inlineStr">
        <is>
          <t>W</t>
        </is>
      </c>
      <c r="V407" s="5">
        <f>IF(NOT(ISNUMBER(Q407)),"",IF(U407="W",IF(ISNUMBER(S407),S407-Q407,IF(ISNUMBER(P407),Q407*(P407-1),"")),IF(U407="L",-Q407,IF(U407="Push",0,""))))</f>
        <v/>
      </c>
      <c r="W407">
        <f>IF(NOT(ISNUMBER(R407)),"",IF(U407="W",IF(ISNUMBER(P407),R407*(P407-1),""),IF(U407="L",-R407,IF(U407="Push",0,""))))</f>
        <v/>
      </c>
      <c r="X407" t="inlineStr">
        <is>
          <t>graded from final</t>
        </is>
      </c>
      <c r="Y407" t="inlineStr">
        <is>
          <t>N</t>
        </is>
      </c>
      <c r="Z407" t="inlineStr">
        <is>
          <t>https://x.com/BookitWithTrent/status/2105318924061728830</t>
        </is>
      </c>
      <c r="AA407" t="inlineStr">
        <is>
          <t>2u</t>
        </is>
      </c>
      <c r="AB407" t="inlineStr">
        <is>
          <t>Single</t>
        </is>
      </c>
      <c r="AC407" s="5">
        <f>IF(ISNUMBER(V407),Q407,"")</f>
        <v/>
      </c>
      <c r="AD407">
        <f>IF(ISNUMBER(W407),R407,"")</f>
        <v/>
      </c>
    </row>
    <row r="408">
      <c r="A408" t="inlineStr">
        <is>
          <t>T-728830d</t>
        </is>
      </c>
      <c r="B408" t="inlineStr">
        <is>
          <t>Trent</t>
        </is>
      </c>
      <c r="C408" s="2" t="n">
        <v>46295.43658564815</v>
      </c>
      <c r="D408">
        <f>IF(C408="","",TEXT(C408,"dddd"))</f>
        <v/>
      </c>
      <c r="E408" s="3" t="n">
        <v>46295</v>
      </c>
      <c r="F408">
        <f>IF(E408="","",TEXT(E408,"dddd"))</f>
        <v/>
      </c>
      <c r="G408" t="inlineStr">
        <is>
          <t>10:00 PM</t>
        </is>
      </c>
      <c r="H408" t="inlineStr">
        <is>
          <t>N</t>
        </is>
      </c>
      <c r="I408" t="inlineStr"/>
      <c r="J408" t="inlineStr">
        <is>
          <t>MLB</t>
        </is>
      </c>
      <c r="K408" t="inlineStr">
        <is>
          <t>MLB</t>
        </is>
      </c>
      <c r="L408" t="inlineStr">
        <is>
          <t>ML</t>
        </is>
      </c>
      <c r="M408" t="inlineStr">
        <is>
          <t>San Diego Padres ML vs Cubs (WC G2)</t>
        </is>
      </c>
      <c r="N408" t="n">
        <v>1</v>
      </c>
      <c r="O408" t="inlineStr">
        <is>
          <t>-145</t>
        </is>
      </c>
      <c r="P408" s="4" t="n">
        <v>1.6897</v>
      </c>
      <c r="Q408" s="5" t="inlineStr"/>
      <c r="R408" t="n">
        <v>2</v>
      </c>
      <c r="S408" s="5" t="inlineStr"/>
      <c r="T408" t="inlineStr">
        <is>
          <t>not shown</t>
        </is>
      </c>
      <c r="U408" t="inlineStr">
        <is>
          <t>W</t>
        </is>
      </c>
      <c r="V408" s="5">
        <f>IF(NOT(ISNUMBER(Q408)),"",IF(U408="W",IF(ISNUMBER(S408),S408-Q408,IF(ISNUMBER(P408),Q408*(P408-1),"")),IF(U408="L",-Q408,IF(U408="Push",0,""))))</f>
        <v/>
      </c>
      <c r="W408">
        <f>IF(NOT(ISNUMBER(R408)),"",IF(U408="W",IF(ISNUMBER(P408),R408*(P408-1),""),IF(U408="L",-R408,IF(U408="Push",0,""))))</f>
        <v/>
      </c>
      <c r="X408" t="inlineStr">
        <is>
          <t>graded from final</t>
        </is>
      </c>
      <c r="Y408" t="inlineStr">
        <is>
          <t>N</t>
        </is>
      </c>
      <c r="Z408" t="inlineStr">
        <is>
          <t>https://x.com/BookitWithTrent/status/2105318924061728830</t>
        </is>
      </c>
      <c r="AA408" t="inlineStr">
        <is>
          <t>2u</t>
        </is>
      </c>
      <c r="AB408" t="inlineStr">
        <is>
          <t>Single</t>
        </is>
      </c>
      <c r="AC408" s="5">
        <f>IF(ISNUMBER(V408),Q408,"")</f>
        <v/>
      </c>
      <c r="AD408">
        <f>IF(ISNUMBER(W408),R408,"")</f>
        <v/>
      </c>
    </row>
    <row r="409">
      <c r="A409" t="inlineStr">
        <is>
          <t>T-728830e</t>
        </is>
      </c>
      <c r="B409" t="inlineStr">
        <is>
          <t>Trent</t>
        </is>
      </c>
      <c r="C409" s="2" t="n">
        <v>46295.43658564815</v>
      </c>
      <c r="D409">
        <f>IF(C409="","",TEXT(C409,"dddd"))</f>
        <v/>
      </c>
      <c r="E409" s="3" t="n">
        <v>46295</v>
      </c>
      <c r="F409">
        <f>IF(E409="","",TEXT(E409,"dddd"))</f>
        <v/>
      </c>
      <c r="G409" t="inlineStr">
        <is>
          <t>10:00 PM</t>
        </is>
      </c>
      <c r="H409" t="inlineStr">
        <is>
          <t>N</t>
        </is>
      </c>
      <c r="I409" t="inlineStr"/>
      <c r="J409" t="inlineStr">
        <is>
          <t>MLB</t>
        </is>
      </c>
      <c r="K409" t="inlineStr">
        <is>
          <t>MLB</t>
        </is>
      </c>
      <c r="L409" t="inlineStr">
        <is>
          <t>parlay</t>
        </is>
      </c>
      <c r="M409" t="inlineStr">
        <is>
          <t>Braves ML; White Sox ML; Yankees ML; Padres ML</t>
        </is>
      </c>
      <c r="N409" t="n">
        <v>4</v>
      </c>
      <c r="O409" t="inlineStr">
        <is>
          <t>+1100</t>
        </is>
      </c>
      <c r="P409" s="4" t="n">
        <v>12</v>
      </c>
      <c r="Q409" s="5" t="inlineStr"/>
      <c r="R409" t="inlineStr"/>
      <c r="S409" s="5" t="inlineStr"/>
      <c r="T409" t="inlineStr">
        <is>
          <t>not shown</t>
        </is>
      </c>
      <c r="U409" t="inlineStr">
        <is>
          <t>L</t>
        </is>
      </c>
      <c r="V409" s="5">
        <f>IF(NOT(ISNUMBER(Q409)),"",IF(U409="W",IF(ISNUMBER(S409),S409-Q409,IF(ISNUMBER(P409),Q409*(P409-1),"")),IF(U409="L",-Q409,IF(U409="Push",0,""))))</f>
        <v/>
      </c>
      <c r="W409">
        <f>IF(NOT(ISNUMBER(R409)),"",IF(U409="W",IF(ISNUMBER(P409),R409*(P409-1),""),IF(U409="L",-R409,IF(U409="Push",0,""))))</f>
        <v/>
      </c>
      <c r="X409" t="inlineStr">
        <is>
          <t>graded from final</t>
        </is>
      </c>
      <c r="Y409" t="inlineStr">
        <is>
          <t>N</t>
        </is>
      </c>
      <c r="Z409" t="inlineStr">
        <is>
          <t>https://x.com/BookitWithTrent/status/2105318924061728830</t>
        </is>
      </c>
      <c r="AA409" t="inlineStr">
        <is>
          <t>"ML parlay +1100"; units not stated</t>
        </is>
      </c>
      <c r="AB409" t="inlineStr">
        <is>
          <t>Parlay/multi-leg</t>
        </is>
      </c>
      <c r="AC409" s="5">
        <f>IF(ISNUMBER(V409),Q409,"")</f>
        <v/>
      </c>
      <c r="AD409">
        <f>IF(ISNUMBER(W409),R409,"")</f>
        <v/>
      </c>
    </row>
    <row r="410">
      <c r="A410" t="inlineStr">
        <is>
          <t>T-365557</t>
        </is>
      </c>
      <c r="B410" t="inlineStr">
        <is>
          <t>Trent</t>
        </is>
      </c>
      <c r="C410" s="2" t="n">
        <v>46295.45876157407</v>
      </c>
      <c r="D410">
        <f>IF(C410="","",TEXT(C410,"dddd"))</f>
        <v/>
      </c>
      <c r="E410" s="3" t="n">
        <v>46295</v>
      </c>
      <c r="F410">
        <f>IF(E410="","",TEXT(E410,"dddd"))</f>
        <v/>
      </c>
      <c r="G410" t="inlineStr">
        <is>
          <t>2:00 PM</t>
        </is>
      </c>
      <c r="H410" t="inlineStr">
        <is>
          <t>N</t>
        </is>
      </c>
      <c r="I410" t="inlineStr"/>
      <c r="J410" t="inlineStr">
        <is>
          <t>MLB</t>
        </is>
      </c>
      <c r="K410" t="inlineStr">
        <is>
          <t>MLB</t>
        </is>
      </c>
      <c r="L410" t="inlineStr">
        <is>
          <t>NRFI</t>
        </is>
      </c>
      <c r="M410" t="inlineStr">
        <is>
          <t>Braves vs Phillies NRFI (WC G2)</t>
        </is>
      </c>
      <c r="N410" t="n">
        <v>1</v>
      </c>
      <c r="O410" t="inlineStr">
        <is>
          <t>-143</t>
        </is>
      </c>
      <c r="P410" s="4" t="n">
        <v>1.6993</v>
      </c>
      <c r="Q410" s="5" t="n">
        <v>2360</v>
      </c>
      <c r="R410" t="inlineStr"/>
      <c r="S410" s="5" t="n">
        <v>4000</v>
      </c>
      <c r="T410" t="inlineStr">
        <is>
          <t>PrizePicks</t>
        </is>
      </c>
      <c r="U410" t="inlineStr">
        <is>
          <t>L</t>
        </is>
      </c>
      <c r="V410" s="5">
        <f>IF(NOT(ISNUMBER(Q410)),"",IF(U410="W",IF(ISNUMBER(S410),S410-Q410,IF(ISNUMBER(P410),Q410*(P410-1),"")),IF(U410="L",-Q410,IF(U410="Push",0,""))))</f>
        <v/>
      </c>
      <c r="W410">
        <f>IF(NOT(ISNUMBER(R410)),"",IF(U410="W",IF(ISNUMBER(P410),R410*(P410-1),""),IF(U410="L",-R410,IF(U410="Push",0,""))))</f>
        <v/>
      </c>
      <c r="X410" t="inlineStr">
        <is>
          <t>graded from final</t>
        </is>
      </c>
      <c r="Y410" t="inlineStr">
        <is>
          <t>N</t>
        </is>
      </c>
      <c r="Z410" t="inlineStr">
        <is>
          <t>https://x.com/BookitWithTrent/status/2105326960767365557</t>
        </is>
      </c>
      <c r="AA410" t="inlineStr">
        <is>
          <t>PrizePicks 1-pick: $2,360 to win $4,000; "I took the Braves NRFI…"</t>
        </is>
      </c>
      <c r="AB410" t="inlineStr">
        <is>
          <t>Single</t>
        </is>
      </c>
      <c r="AC410" s="5">
        <f>IF(ISNUMBER(V410),Q410,"")</f>
        <v/>
      </c>
      <c r="AD410">
        <f>IF(ISNUMBER(W410),R410,"")</f>
        <v/>
      </c>
    </row>
    <row r="411">
      <c r="A411" t="inlineStr">
        <is>
          <t>S-431416</t>
        </is>
      </c>
      <c r="B411" t="inlineStr">
        <is>
          <t>Steve</t>
        </is>
      </c>
      <c r="C411" s="2" t="n">
        <v>46295.48503472222</v>
      </c>
      <c r="D411">
        <f>IF(C411="","",TEXT(C411,"dddd"))</f>
        <v/>
      </c>
      <c r="E411" s="3" t="n">
        <v>46295</v>
      </c>
      <c r="F411">
        <f>IF(E411="","",TEXT(E411,"dddd"))</f>
        <v/>
      </c>
      <c r="G411" t="inlineStr">
        <is>
          <t>2:00 PM</t>
        </is>
      </c>
      <c r="H411" t="inlineStr">
        <is>
          <t>N</t>
        </is>
      </c>
      <c r="I411" t="inlineStr"/>
      <c r="J411" t="inlineStr">
        <is>
          <t>MLB</t>
        </is>
      </c>
      <c r="K411" t="inlineStr">
        <is>
          <t>MLB</t>
        </is>
      </c>
      <c r="L411" t="inlineStr">
        <is>
          <t>ML</t>
        </is>
      </c>
      <c r="M411" t="inlineStr">
        <is>
          <t>Atlanta Braves ML vs Philadelphia Phillies (WC G2)</t>
        </is>
      </c>
      <c r="N411" t="n">
        <v>1</v>
      </c>
      <c r="O411" t="inlineStr">
        <is>
          <t>-104</t>
        </is>
      </c>
      <c r="P411" s="4" t="n">
        <v>1.9615</v>
      </c>
      <c r="Q411" s="5" t="n">
        <v>75000</v>
      </c>
      <c r="R411" t="inlineStr"/>
      <c r="S411" s="5" t="n">
        <v>147000</v>
      </c>
      <c r="T411" t="inlineStr">
        <is>
          <t>Gamdom</t>
        </is>
      </c>
      <c r="U411" t="inlineStr">
        <is>
          <t>L</t>
        </is>
      </c>
      <c r="V411" s="5">
        <f>IF(NOT(ISNUMBER(Q411)),"",IF(U411="W",IF(ISNUMBER(S411),S411-Q411,IF(ISNUMBER(P411),Q411*(P411-1),"")),IF(U411="L",-Q411,IF(U411="Push",0,""))))</f>
        <v/>
      </c>
      <c r="W411">
        <f>IF(NOT(ISNUMBER(R411)),"",IF(U411="W",IF(ISNUMBER(P411),R411*(P411-1),""),IF(U411="L",-R411,IF(U411="Push",0,""))))</f>
        <v/>
      </c>
      <c r="X411" t="inlineStr">
        <is>
          <t>graded from final</t>
        </is>
      </c>
      <c r="Y411" t="inlineStr">
        <is>
          <t>Y - tags Gamdom</t>
        </is>
      </c>
      <c r="Z411" t="inlineStr">
        <is>
          <t>https://x.com/stevewilldoit/status/2105336484400431416</t>
        </is>
      </c>
      <c r="AA411" t="inlineStr">
        <is>
          <t>"Mexican Steve's picks"</t>
        </is>
      </c>
      <c r="AB411" t="inlineStr">
        <is>
          <t>Single</t>
        </is>
      </c>
      <c r="AC411" s="5">
        <f>IF(ISNUMBER(V411),Q411,"")</f>
        <v/>
      </c>
      <c r="AD411">
        <f>IF(ISNUMBER(W411),R411,"")</f>
        <v/>
      </c>
    </row>
    <row r="412">
      <c r="A412" t="inlineStr">
        <is>
          <t>S-339019</t>
        </is>
      </c>
      <c r="B412" t="inlineStr">
        <is>
          <t>Steve</t>
        </is>
      </c>
      <c r="C412" s="2" t="n">
        <v>46295.49773148148</v>
      </c>
      <c r="D412">
        <f>IF(C412="","",TEXT(C412,"dddd"))</f>
        <v/>
      </c>
      <c r="E412" s="3" t="n">
        <v>46295</v>
      </c>
      <c r="F412">
        <f>IF(E412="","",TEXT(E412,"dddd"))</f>
        <v/>
      </c>
      <c r="G412" t="inlineStr">
        <is>
          <t>10:00 PM</t>
        </is>
      </c>
      <c r="H412" t="inlineStr">
        <is>
          <t>N</t>
        </is>
      </c>
      <c r="I412" t="inlineStr"/>
      <c r="J412" t="inlineStr">
        <is>
          <t>MLB</t>
        </is>
      </c>
      <c r="K412" t="inlineStr">
        <is>
          <t>MLB</t>
        </is>
      </c>
      <c r="L412" t="inlineStr">
        <is>
          <t>ML</t>
        </is>
      </c>
      <c r="M412" t="inlineStr">
        <is>
          <t>Chicago Cubs ML vs San Diego Padres (WC G2)</t>
        </is>
      </c>
      <c r="N412" t="n">
        <v>1</v>
      </c>
      <c r="O412" t="inlineStr">
        <is>
          <t>+120</t>
        </is>
      </c>
      <c r="P412" s="4" t="n">
        <v>2.2</v>
      </c>
      <c r="Q412" s="5" t="n">
        <v>75000</v>
      </c>
      <c r="R412" t="inlineStr"/>
      <c r="S412" s="5" t="n">
        <v>165000</v>
      </c>
      <c r="T412" t="inlineStr">
        <is>
          <t>Gamdom</t>
        </is>
      </c>
      <c r="U412" t="inlineStr">
        <is>
          <t>L</t>
        </is>
      </c>
      <c r="V412" s="5">
        <f>IF(NOT(ISNUMBER(Q412)),"",IF(U412="W",IF(ISNUMBER(S412),S412-Q412,IF(ISNUMBER(P412),Q412*(P412-1),"")),IF(U412="L",-Q412,IF(U412="Push",0,""))))</f>
        <v/>
      </c>
      <c r="W412">
        <f>IF(NOT(ISNUMBER(R412)),"",IF(U412="W",IF(ISNUMBER(P412),R412*(P412-1),""),IF(U412="L",-R412,IF(U412="Push",0,""))))</f>
        <v/>
      </c>
      <c r="X412" t="inlineStr">
        <is>
          <t>graded from final</t>
        </is>
      </c>
      <c r="Y412" t="inlineStr">
        <is>
          <t>Y - tags Gamdom</t>
        </is>
      </c>
      <c r="Z412" t="inlineStr">
        <is>
          <t>https://x.com/stevewilldoit/status/2105341083920339019</t>
        </is>
      </c>
      <c r="AA412" t="inlineStr">
        <is>
          <t>"It's 69s picks"</t>
        </is>
      </c>
      <c r="AB412" t="inlineStr">
        <is>
          <t>Single</t>
        </is>
      </c>
      <c r="AC412" s="5">
        <f>IF(ISNUMBER(V412),Q412,"")</f>
        <v/>
      </c>
      <c r="AD412">
        <f>IF(ISNUMBER(W412),R412,"")</f>
        <v/>
      </c>
    </row>
    <row r="413">
      <c r="A413" t="inlineStr">
        <is>
          <t>S-339019b</t>
        </is>
      </c>
      <c r="B413" t="inlineStr">
        <is>
          <t>Steve</t>
        </is>
      </c>
      <c r="C413" s="2" t="n">
        <v>46295.49773148148</v>
      </c>
      <c r="D413">
        <f>IF(C413="","",TEXT(C413,"dddd"))</f>
        <v/>
      </c>
      <c r="E413" s="3" t="n">
        <v>46295</v>
      </c>
      <c r="F413">
        <f>IF(E413="","",TEXT(E413,"dddd"))</f>
        <v/>
      </c>
      <c r="G413" t="inlineStr">
        <is>
          <t>8:00 PM</t>
        </is>
      </c>
      <c r="H413" t="inlineStr">
        <is>
          <t>N</t>
        </is>
      </c>
      <c r="I413" t="inlineStr"/>
      <c r="J413" t="inlineStr">
        <is>
          <t>MLB</t>
        </is>
      </c>
      <c r="K413" t="inlineStr">
        <is>
          <t>MLB</t>
        </is>
      </c>
      <c r="L413" t="inlineStr">
        <is>
          <t>ML</t>
        </is>
      </c>
      <c r="M413" t="inlineStr">
        <is>
          <t>New York Yankees ML vs Boston Red Sox (WC G2)</t>
        </is>
      </c>
      <c r="N413" t="n">
        <v>1</v>
      </c>
      <c r="O413" t="inlineStr">
        <is>
          <t>-141</t>
        </is>
      </c>
      <c r="P413" s="4" t="n">
        <v>1.7092</v>
      </c>
      <c r="Q413" s="5" t="n">
        <v>75000</v>
      </c>
      <c r="R413" t="inlineStr"/>
      <c r="S413" s="5" t="n">
        <v>128250</v>
      </c>
      <c r="T413" t="inlineStr">
        <is>
          <t>Gamdom</t>
        </is>
      </c>
      <c r="U413" t="inlineStr">
        <is>
          <t>W</t>
        </is>
      </c>
      <c r="V413" s="5">
        <f>IF(NOT(ISNUMBER(Q413)),"",IF(U413="W",IF(ISNUMBER(S413),S413-Q413,IF(ISNUMBER(P413),Q413*(P413-1),"")),IF(U413="L",-Q413,IF(U413="Push",0,""))))</f>
        <v/>
      </c>
      <c r="W413">
        <f>IF(NOT(ISNUMBER(R413)),"",IF(U413="W",IF(ISNUMBER(P413),R413*(P413-1),""),IF(U413="L",-R413,IF(U413="Push",0,""))))</f>
        <v/>
      </c>
      <c r="X413" t="inlineStr">
        <is>
          <t>graded from final</t>
        </is>
      </c>
      <c r="Y413" t="inlineStr">
        <is>
          <t>Y - tags Gamdom</t>
        </is>
      </c>
      <c r="Z413" t="inlineStr">
        <is>
          <t>https://x.com/stevewilldoit/status/2105341083920339019</t>
        </is>
      </c>
      <c r="AA413" t="inlineStr">
        <is>
          <t>"It's 69s picks"</t>
        </is>
      </c>
      <c r="AB413" t="inlineStr">
        <is>
          <t>Single</t>
        </is>
      </c>
      <c r="AC413" s="5">
        <f>IF(ISNUMBER(V413),Q413,"")</f>
        <v/>
      </c>
      <c r="AD413">
        <f>IF(ISNUMBER(W413),R413,"")</f>
        <v/>
      </c>
    </row>
    <row r="414">
      <c r="A414" t="inlineStr">
        <is>
          <t>S-339019c</t>
        </is>
      </c>
      <c r="B414" t="inlineStr">
        <is>
          <t>Steve</t>
        </is>
      </c>
      <c r="C414" s="2" t="n">
        <v>46295.49773148148</v>
      </c>
      <c r="D414">
        <f>IF(C414="","",TEXT(C414,"dddd"))</f>
        <v/>
      </c>
      <c r="E414" s="3" t="n">
        <v>46295</v>
      </c>
      <c r="F414">
        <f>IF(E414="","",TEXT(E414,"dddd"))</f>
        <v/>
      </c>
      <c r="G414" t="inlineStr">
        <is>
          <t>5:00 PM</t>
        </is>
      </c>
      <c r="H414" t="inlineStr">
        <is>
          <t>N</t>
        </is>
      </c>
      <c r="I414" t="inlineStr"/>
      <c r="J414" t="inlineStr">
        <is>
          <t>MLB</t>
        </is>
      </c>
      <c r="K414" t="inlineStr">
        <is>
          <t>MLB</t>
        </is>
      </c>
      <c r="L414" t="inlineStr">
        <is>
          <t>ML</t>
        </is>
      </c>
      <c r="M414" t="inlineStr">
        <is>
          <t>Houston Astros ML vs Chicago White Sox (WC G2)</t>
        </is>
      </c>
      <c r="N414" t="n">
        <v>1</v>
      </c>
      <c r="O414" t="inlineStr">
        <is>
          <t>-152</t>
        </is>
      </c>
      <c r="P414" s="4" t="n">
        <v>1.6579</v>
      </c>
      <c r="Q414" s="5" t="n">
        <v>75000</v>
      </c>
      <c r="R414" t="inlineStr"/>
      <c r="S414" s="5" t="n">
        <v>124500</v>
      </c>
      <c r="T414" t="inlineStr">
        <is>
          <t>Gamdom</t>
        </is>
      </c>
      <c r="U414" t="inlineStr">
        <is>
          <t>L</t>
        </is>
      </c>
      <c r="V414" s="5">
        <f>IF(NOT(ISNUMBER(Q414)),"",IF(U414="W",IF(ISNUMBER(S414),S414-Q414,IF(ISNUMBER(P414),Q414*(P414-1),"")),IF(U414="L",-Q414,IF(U414="Push",0,""))))</f>
        <v/>
      </c>
      <c r="W414">
        <f>IF(NOT(ISNUMBER(R414)),"",IF(U414="W",IF(ISNUMBER(P414),R414*(P414-1),""),IF(U414="L",-R414,IF(U414="Push",0,""))))</f>
        <v/>
      </c>
      <c r="X414" t="inlineStr">
        <is>
          <t>graded from final</t>
        </is>
      </c>
      <c r="Y414" t="inlineStr">
        <is>
          <t>Y - tags Gamdom</t>
        </is>
      </c>
      <c r="Z414" t="inlineStr">
        <is>
          <t>https://x.com/stevewilldoit/status/2105341083920339019</t>
        </is>
      </c>
      <c r="AA414" t="inlineStr">
        <is>
          <t>"It's 69s picks"</t>
        </is>
      </c>
      <c r="AB414" t="inlineStr">
        <is>
          <t>Single</t>
        </is>
      </c>
      <c r="AC414" s="5">
        <f>IF(ISNUMBER(V414),Q414,"")</f>
        <v/>
      </c>
      <c r="AD414">
        <f>IF(ISNUMBER(W414),R414,"")</f>
        <v/>
      </c>
    </row>
    <row r="415">
      <c r="A415" t="inlineStr">
        <is>
          <t>S-663794</t>
        </is>
      </c>
      <c r="B415" t="inlineStr">
        <is>
          <t>Steve</t>
        </is>
      </c>
      <c r="C415" s="2" t="n">
        <v>46295.69053240741</v>
      </c>
      <c r="D415">
        <f>IF(C415="","",TEXT(C415,"dddd"))</f>
        <v/>
      </c>
      <c r="E415" s="3" t="n">
        <v>46295</v>
      </c>
      <c r="F415">
        <f>IF(E415="","",TEXT(E415,"dddd"))</f>
        <v/>
      </c>
      <c r="G415" t="inlineStr">
        <is>
          <t>5:00 PM</t>
        </is>
      </c>
      <c r="H415" t="inlineStr">
        <is>
          <t>N</t>
        </is>
      </c>
      <c r="I415" t="inlineStr"/>
      <c r="J415" t="inlineStr">
        <is>
          <t>MLB</t>
        </is>
      </c>
      <c r="K415" t="inlineStr">
        <is>
          <t>MLB</t>
        </is>
      </c>
      <c r="L415" t="inlineStr">
        <is>
          <t>ML</t>
        </is>
      </c>
      <c r="M415" t="inlineStr">
        <is>
          <t>Houston Astros ML vs White Sox (live)</t>
        </is>
      </c>
      <c r="N415" t="n">
        <v>1</v>
      </c>
      <c r="O415" t="inlineStr">
        <is>
          <t>+341</t>
        </is>
      </c>
      <c r="P415" s="4" t="n">
        <v>4.41</v>
      </c>
      <c r="Q415" s="5" t="n">
        <v>50000</v>
      </c>
      <c r="R415" t="inlineStr"/>
      <c r="S415" s="5" t="n">
        <v>220500</v>
      </c>
      <c r="T415" t="inlineStr">
        <is>
          <t>Gamdom</t>
        </is>
      </c>
      <c r="U415" t="inlineStr">
        <is>
          <t>L</t>
        </is>
      </c>
      <c r="V415" s="5">
        <f>IF(NOT(ISNUMBER(Q415)),"",IF(U415="W",IF(ISNUMBER(S415),S415-Q415,IF(ISNUMBER(P415),Q415*(P415-1),"")),IF(U415="L",-Q415,IF(U415="Push",0,""))))</f>
        <v/>
      </c>
      <c r="W415">
        <f>IF(NOT(ISNUMBER(R415)),"",IF(U415="W",IF(ISNUMBER(P415),R415*(P415-1),""),IF(U415="L",-R415,IF(U415="Push",0,""))))</f>
        <v/>
      </c>
      <c r="X415" t="inlineStr">
        <is>
          <t>graded from final</t>
        </is>
      </c>
      <c r="Y415" t="inlineStr">
        <is>
          <t>N</t>
        </is>
      </c>
      <c r="Z415" t="inlineStr">
        <is>
          <t>https://x.com/stevewilldoit/status/2105410951822663794</t>
        </is>
      </c>
      <c r="AA415" t="inlineStr">
        <is>
          <t>"Go Astros plz"</t>
        </is>
      </c>
      <c r="AB415" t="inlineStr">
        <is>
          <t>Single</t>
        </is>
      </c>
      <c r="AC415" s="5">
        <f>IF(ISNUMBER(V415),Q415,"")</f>
        <v/>
      </c>
      <c r="AD415">
        <f>IF(ISNUMBER(W415),R415,"")</f>
        <v/>
      </c>
    </row>
    <row r="416">
      <c r="A416" t="inlineStr">
        <is>
          <t>S-169535</t>
        </is>
      </c>
      <c r="B416" t="inlineStr">
        <is>
          <t>Steve</t>
        </is>
      </c>
      <c r="C416" s="2" t="n">
        <v>46295.6989699074</v>
      </c>
      <c r="D416">
        <f>IF(C416="","",TEXT(C416,"dddd"))</f>
        <v/>
      </c>
      <c r="E416" s="3" t="n">
        <v>46295</v>
      </c>
      <c r="F416">
        <f>IF(E416="","",TEXT(E416,"dddd"))</f>
        <v/>
      </c>
      <c r="G416" t="inlineStr">
        <is>
          <t>10:00 PM</t>
        </is>
      </c>
      <c r="H416" t="inlineStr">
        <is>
          <t>N</t>
        </is>
      </c>
      <c r="I416" t="inlineStr"/>
      <c r="J416" t="inlineStr">
        <is>
          <t>MLB</t>
        </is>
      </c>
      <c r="K416" t="inlineStr">
        <is>
          <t>MLB</t>
        </is>
      </c>
      <c r="L416" t="inlineStr">
        <is>
          <t>parlay</t>
        </is>
      </c>
      <c r="M416" t="inlineStr">
        <is>
          <t>New York Yankees ML vs Red Sox; Padres/Cubs winner (selection cut off)</t>
        </is>
      </c>
      <c r="N416" t="n">
        <v>2</v>
      </c>
      <c r="O416" t="inlineStr">
        <is>
          <t>+284</t>
        </is>
      </c>
      <c r="P416" s="4" t="n">
        <v>3.84</v>
      </c>
      <c r="Q416" s="5" t="n">
        <v>100000</v>
      </c>
      <c r="R416" t="inlineStr"/>
      <c r="S416" s="5" t="n">
        <v>384000</v>
      </c>
      <c r="T416" t="inlineStr">
        <is>
          <t>Gamdom</t>
        </is>
      </c>
      <c r="U416" t="inlineStr">
        <is>
          <t>L</t>
        </is>
      </c>
      <c r="V416" s="5">
        <f>IF(NOT(ISNUMBER(Q416)),"",IF(U416="W",IF(ISNUMBER(S416),S416-Q416,IF(ISNUMBER(P416),Q416*(P416-1),"")),IF(U416="L",-Q416,IF(U416="Push",0,""))))</f>
        <v/>
      </c>
      <c r="W416">
        <f>IF(NOT(ISNUMBER(R416)),"",IF(U416="W",IF(ISNUMBER(P416),R416*(P416-1),""),IF(U416="L",-R416,IF(U416="Push",0,""))))</f>
        <v/>
      </c>
      <c r="X416" t="inlineStr">
        <is>
          <t>graded from final</t>
        </is>
      </c>
      <c r="Y416" t="inlineStr">
        <is>
          <t>Y - tags Gamdom</t>
        </is>
      </c>
      <c r="Z416" t="inlineStr">
        <is>
          <t>https://x.com/stevewilldoit/status/2105414010892169535</t>
        </is>
      </c>
      <c r="AA416" t="inlineStr">
        <is>
          <t>"I'm so fucking confident in this"</t>
        </is>
      </c>
      <c r="AB416" t="inlineStr">
        <is>
          <t>Parlay/multi-leg</t>
        </is>
      </c>
      <c r="AC416" s="5">
        <f>IF(ISNUMBER(V416),Q416,"")</f>
        <v/>
      </c>
      <c r="AD416">
        <f>IF(ISNUMBER(W416),R416,"")</f>
        <v/>
      </c>
    </row>
    <row r="417">
      <c r="A417" t="inlineStr">
        <is>
          <t>S-861593</t>
        </is>
      </c>
      <c r="B417" t="inlineStr">
        <is>
          <t>Steve</t>
        </is>
      </c>
      <c r="C417" s="2" t="n">
        <v>46295.70039351852</v>
      </c>
      <c r="D417">
        <f>IF(C417="","",TEXT(C417,"dddd"))</f>
        <v/>
      </c>
      <c r="E417" s="3" t="n">
        <v>46295</v>
      </c>
      <c r="F417">
        <f>IF(E417="","",TEXT(E417,"dddd"))</f>
        <v/>
      </c>
      <c r="G417" t="inlineStr">
        <is>
          <t>not matched</t>
        </is>
      </c>
      <c r="H417" t="inlineStr">
        <is>
          <t>N</t>
        </is>
      </c>
      <c r="I417" t="inlineStr"/>
      <c r="J417" t="inlineStr">
        <is>
          <t>Other</t>
        </is>
      </c>
      <c r="K417" t="inlineStr">
        <is>
          <t>NHL</t>
        </is>
      </c>
      <c r="L417" t="inlineStr">
        <is>
          <t>ML</t>
        </is>
      </c>
      <c r="M417" t="inlineStr">
        <is>
          <t>Toronto Maple Leafs ML vs New York Islanders</t>
        </is>
      </c>
      <c r="N417" t="n">
        <v>1</v>
      </c>
      <c r="O417" t="inlineStr">
        <is>
          <t>-128</t>
        </is>
      </c>
      <c r="P417" s="4" t="n">
        <v>1.7812</v>
      </c>
      <c r="Q417" s="5" t="n">
        <v>90000</v>
      </c>
      <c r="R417" t="inlineStr"/>
      <c r="S417" s="5" t="n">
        <v>160200</v>
      </c>
      <c r="T417" t="inlineStr">
        <is>
          <t>Gamdom</t>
        </is>
      </c>
      <c r="U417" t="inlineStr">
        <is>
          <t>W</t>
        </is>
      </c>
      <c r="V417" s="5">
        <f>IF(NOT(ISNUMBER(Q417)),"",IF(U417="W",IF(ISNUMBER(S417),S417-Q417,IF(ISNUMBER(P417),Q417*(P417-1),"")),IF(U417="L",-Q417,IF(U417="Push",0,""))))</f>
        <v/>
      </c>
      <c r="W417">
        <f>IF(NOT(ISNUMBER(R417)),"",IF(U417="W",IF(ISNUMBER(P417),R417*(P417-1),""),IF(U417="L",-R417,IF(U417="Push",0,""))))</f>
        <v/>
      </c>
      <c r="X417" t="inlineStr">
        <is>
          <t>graded from final</t>
        </is>
      </c>
      <c r="Y417" t="inlineStr">
        <is>
          <t>Y - tags Gamdom</t>
        </is>
      </c>
      <c r="Z417" t="inlineStr">
        <is>
          <t>https://x.com/stevewilldoit/status/2105414526128861593</t>
        </is>
      </c>
      <c r="AA417" t="inlineStr">
        <is>
          <t>"My buddy razz" pick; Final: TOR 2-1 NYI (preseason)</t>
        </is>
      </c>
      <c r="AB417" t="inlineStr">
        <is>
          <t>Single</t>
        </is>
      </c>
      <c r="AC417" s="5">
        <f>IF(ISNUMBER(V417),Q417,"")</f>
        <v/>
      </c>
      <c r="AD417">
        <f>IF(ISNUMBER(W417),R417,"")</f>
        <v/>
      </c>
    </row>
    <row r="418">
      <c r="A418" t="inlineStr">
        <is>
          <t>S-172731</t>
        </is>
      </c>
      <c r="B418" t="inlineStr">
        <is>
          <t>Steve</t>
        </is>
      </c>
      <c r="C418" s="2" t="n">
        <v>46295.73528935185</v>
      </c>
      <c r="D418">
        <f>IF(C418="","",TEXT(C418,"dddd"))</f>
        <v/>
      </c>
      <c r="E418" s="3" t="n">
        <v>46295</v>
      </c>
      <c r="F418">
        <f>IF(E418="","",TEXT(E418,"dddd"))</f>
        <v/>
      </c>
      <c r="G418" t="inlineStr">
        <is>
          <t>10:00 PM</t>
        </is>
      </c>
      <c r="H418" t="inlineStr">
        <is>
          <t>N</t>
        </is>
      </c>
      <c r="I418" t="inlineStr"/>
      <c r="J418" t="inlineStr">
        <is>
          <t>MLB</t>
        </is>
      </c>
      <c r="K418" t="inlineStr">
        <is>
          <t>MLB</t>
        </is>
      </c>
      <c r="L418" t="inlineStr">
        <is>
          <t>parlay</t>
        </is>
      </c>
      <c r="M418" t="inlineStr">
        <is>
          <t>New York Yankees ML (-138) vs Red Sox; Chicago Cubs ML (+131) vs Padres (WC G2)</t>
        </is>
      </c>
      <c r="N418" t="n">
        <v>2</v>
      </c>
      <c r="O418" t="inlineStr">
        <is>
          <t>+298</t>
        </is>
      </c>
      <c r="P418" s="4" t="n">
        <v>3.98</v>
      </c>
      <c r="Q418" s="5" t="n">
        <v>200000</v>
      </c>
      <c r="R418" t="inlineStr"/>
      <c r="S418" s="5" t="n">
        <v>796782.6</v>
      </c>
      <c r="T418" t="inlineStr">
        <is>
          <t>Red Rock (sportsbook)</t>
        </is>
      </c>
      <c r="U418" t="inlineStr">
        <is>
          <t>L</t>
        </is>
      </c>
      <c r="V418" s="5">
        <f>IF(NOT(ISNUMBER(Q418)),"",IF(U418="W",IF(ISNUMBER(S418),S418-Q418,IF(ISNUMBER(P418),Q418*(P418-1),"")),IF(U418="L",-Q418,IF(U418="Push",0,""))))</f>
        <v/>
      </c>
      <c r="W418">
        <f>IF(NOT(ISNUMBER(R418)),"",IF(U418="W",IF(ISNUMBER(P418),R418*(P418-1),""),IF(U418="L",-R418,IF(U418="Push",0,""))))</f>
        <v/>
      </c>
      <c r="X418" t="inlineStr">
        <is>
          <t>graded from final</t>
        </is>
      </c>
      <c r="Y418" t="inlineStr">
        <is>
          <t>N</t>
        </is>
      </c>
      <c r="Z418" t="inlineStr">
        <is>
          <t>https://x.com/stevewilldoit/status/2105427170915172731</t>
        </is>
      </c>
      <c r="AA418" t="inlineStr">
        <is>
          <t>Red Rock ticket; "6IX9INE'S 72-HOUR-OLD CHILD GAMBY SAID IT"</t>
        </is>
      </c>
      <c r="AB418" t="inlineStr">
        <is>
          <t>Parlay/multi-leg</t>
        </is>
      </c>
      <c r="AC418" s="5">
        <f>IF(ISNUMBER(V418),Q418,"")</f>
        <v/>
      </c>
      <c r="AD418">
        <f>IF(ISNUMBER(W418),R418,"")</f>
        <v/>
      </c>
    </row>
    <row r="419">
      <c r="A419" t="inlineStr">
        <is>
          <t>T-073515</t>
        </is>
      </c>
      <c r="B419" t="inlineStr">
        <is>
          <t>Trent</t>
        </is>
      </c>
      <c r="C419" s="2" t="n">
        <v>46295.74322916667</v>
      </c>
      <c r="D419">
        <f>IF(C419="","",TEXT(C419,"dddd"))</f>
        <v/>
      </c>
      <c r="E419" s="3" t="n">
        <v>46295</v>
      </c>
      <c r="F419">
        <f>IF(E419="","",TEXT(E419,"dddd"))</f>
        <v/>
      </c>
      <c r="G419" t="inlineStr">
        <is>
          <t>not matched</t>
        </is>
      </c>
      <c r="H419" t="inlineStr">
        <is>
          <t>N</t>
        </is>
      </c>
      <c r="I419" t="inlineStr"/>
      <c r="J419" t="inlineStr">
        <is>
          <t>MLB</t>
        </is>
      </c>
      <c r="K419" t="inlineStr">
        <is>
          <t>MLB</t>
        </is>
      </c>
      <c r="L419" t="inlineStr">
        <is>
          <t>PrizePicks/DFS</t>
        </is>
      </c>
      <c r="M419" t="inlineStr">
        <is>
          <t>Cristopher Sanchez u35.5 pitcher FS; Hunter Brown u30.5 pitcher FS; Sonny Gray u28.5 pitcher FS; Kevin Gausman u23.5 pitcher FS</t>
        </is>
      </c>
      <c r="N419" t="n">
        <v>4</v>
      </c>
      <c r="O419" t="inlineStr">
        <is>
          <t>+900</t>
        </is>
      </c>
      <c r="P419" s="4" t="n">
        <v>10</v>
      </c>
      <c r="Q419" s="5" t="n">
        <v>1000</v>
      </c>
      <c r="R419" t="inlineStr"/>
      <c r="S419" s="5" t="n">
        <v>10000</v>
      </c>
      <c r="T419" t="inlineStr">
        <is>
          <t>PrizePicks</t>
        </is>
      </c>
      <c r="U419" t="inlineStr">
        <is>
          <t>W</t>
        </is>
      </c>
      <c r="V419" s="5">
        <f>IF(NOT(ISNUMBER(Q419)),"",IF(U419="W",IF(ISNUMBER(S419),S419-Q419,IF(ISNUMBER(P419),Q419*(P419-1),"")),IF(U419="L",-Q419,IF(U419="Push",0,""))))</f>
        <v/>
      </c>
      <c r="W419">
        <f>IF(NOT(ISNUMBER(R419)),"",IF(U419="W",IF(ISNUMBER(P419),R419*(P419-1),""),IF(U419="L",-R419,IF(U419="Push",0,""))))</f>
        <v/>
      </c>
      <c r="X419" t="inlineStr">
        <is>
          <t>posted</t>
        </is>
      </c>
      <c r="Y419" t="inlineStr">
        <is>
          <t>N</t>
        </is>
      </c>
      <c r="Z419" t="inlineStr">
        <is>
          <t>https://x.com/BookitWithTrent/status/2105430049558073515</t>
        </is>
      </c>
      <c r="AA419" t="inlineStr">
        <is>
          <t>"900 people just cashed the easiest 4 man ive ever placed"</t>
        </is>
      </c>
      <c r="AB419" t="inlineStr">
        <is>
          <t>Parlay/multi-leg</t>
        </is>
      </c>
      <c r="AC419" s="5">
        <f>IF(ISNUMBER(V419),Q419,"")</f>
        <v/>
      </c>
      <c r="AD419">
        <f>IF(ISNUMBER(W419),R419,"")</f>
        <v/>
      </c>
    </row>
    <row r="420">
      <c r="A420" t="inlineStr">
        <is>
          <t>T-855115</t>
        </is>
      </c>
      <c r="B420" t="inlineStr">
        <is>
          <t>Trent</t>
        </is>
      </c>
      <c r="C420" s="2" t="n">
        <v>46296.39853009259</v>
      </c>
      <c r="D420">
        <f>IF(C420="","",TEXT(C420,"dddd"))</f>
        <v/>
      </c>
      <c r="E420" s="3" t="n">
        <v>46296</v>
      </c>
      <c r="F420">
        <f>IF(E420="","",TEXT(E420,"dddd"))</f>
        <v/>
      </c>
      <c r="G420" t="inlineStr">
        <is>
          <t>8:15 PM</t>
        </is>
      </c>
      <c r="H420" t="inlineStr">
        <is>
          <t>Y</t>
        </is>
      </c>
      <c r="I420" t="inlineStr">
        <is>
          <t>TNF</t>
        </is>
      </c>
      <c r="J420" t="inlineStr">
        <is>
          <t>NFL</t>
        </is>
      </c>
      <c r="K420" t="inlineStr">
        <is>
          <t>NFL</t>
        </is>
      </c>
      <c r="L420" t="inlineStr">
        <is>
          <t>PrizePicks/DFS</t>
        </is>
      </c>
      <c r="M420" t="inlineStr">
        <is>
          <t>DK Metcalf u42.5 rec yds; Chris Boswell o8 fantasy score; Deshaun Watson u29.5 rush yds; KC Concepcion u34.5 rec yds</t>
        </is>
      </c>
      <c r="N420" t="n">
        <v>4</v>
      </c>
      <c r="O420" t="inlineStr">
        <is>
          <t>+900</t>
        </is>
      </c>
      <c r="P420" s="4" t="n">
        <v>10</v>
      </c>
      <c r="Q420" s="5" t="n">
        <v>1000</v>
      </c>
      <c r="R420" t="inlineStr"/>
      <c r="S420" s="5" t="n">
        <v>10000</v>
      </c>
      <c r="T420" t="inlineStr">
        <is>
          <t>PrizePicks</t>
        </is>
      </c>
      <c r="U420" t="inlineStr">
        <is>
          <t>L</t>
        </is>
      </c>
      <c r="V420" s="5">
        <f>IF(NOT(ISNUMBER(Q420)),"",IF(U420="W",IF(ISNUMBER(S420),S420-Q420,IF(ISNUMBER(P420),Q420*(P420-1),"")),IF(U420="L",-Q420,IF(U420="Push",0,""))))</f>
        <v/>
      </c>
      <c r="W420">
        <f>IF(NOT(ISNUMBER(R420)),"",IF(U420="W",IF(ISNUMBER(P420),R420*(P420-1),""),IF(U420="L",-R420,IF(U420="Push",0,""))))</f>
        <v/>
      </c>
      <c r="X420" t="inlineStr">
        <is>
          <t>graded from final</t>
        </is>
      </c>
      <c r="Y420" t="inlineStr">
        <is>
          <t>N</t>
        </is>
      </c>
      <c r="Z420" t="inlineStr">
        <is>
          <t>https://x.com/BookitWithTrent/status/2105667522007855115</t>
        </is>
      </c>
      <c r="AA420" t="inlineStr">
        <is>
          <t>"I hope you see this in time" (TNF); Final: Metcalf 115 rec yds</t>
        </is>
      </c>
      <c r="AB420" t="inlineStr">
        <is>
          <t>Parlay/multi-leg</t>
        </is>
      </c>
      <c r="AC420" s="5">
        <f>IF(ISNUMBER(V420),Q420,"")</f>
        <v/>
      </c>
      <c r="AD420">
        <f>IF(ISNUMBER(W420),R420,"")</f>
        <v/>
      </c>
    </row>
    <row r="421">
      <c r="A421" t="inlineStr">
        <is>
          <t>T-569575</t>
        </is>
      </c>
      <c r="B421" t="inlineStr">
        <is>
          <t>Trent</t>
        </is>
      </c>
      <c r="C421" s="2" t="n">
        <v>46296.4390625</v>
      </c>
      <c r="D421">
        <f>IF(C421="","",TEXT(C421,"dddd"))</f>
        <v/>
      </c>
      <c r="E421" s="3" t="n">
        <v>46296</v>
      </c>
      <c r="F421">
        <f>IF(E421="","",TEXT(E421,"dddd"))</f>
        <v/>
      </c>
      <c r="G421" t="inlineStr">
        <is>
          <t>8:15 PM</t>
        </is>
      </c>
      <c r="H421" t="inlineStr">
        <is>
          <t>Y</t>
        </is>
      </c>
      <c r="I421" t="inlineStr">
        <is>
          <t>TNF</t>
        </is>
      </c>
      <c r="J421" t="inlineStr">
        <is>
          <t>NFL</t>
        </is>
      </c>
      <c r="K421" t="inlineStr">
        <is>
          <t>NFL</t>
        </is>
      </c>
      <c r="L421" t="inlineStr">
        <is>
          <t>spread</t>
        </is>
      </c>
      <c r="M421" t="inlineStr">
        <is>
          <t>Cleveland Browns +2.5 vs Steelers (TNF)</t>
        </is>
      </c>
      <c r="N421" t="n">
        <v>1</v>
      </c>
      <c r="O421" t="inlineStr">
        <is>
          <t>+100</t>
        </is>
      </c>
      <c r="P421" s="4" t="n">
        <v>2</v>
      </c>
      <c r="Q421" s="5" t="n">
        <v>1000</v>
      </c>
      <c r="R421" t="n">
        <v>2</v>
      </c>
      <c r="S421" s="5" t="n">
        <v>2000</v>
      </c>
      <c r="T421" t="inlineStr">
        <is>
          <t>PrizePicks</t>
        </is>
      </c>
      <c r="U421" t="inlineStr">
        <is>
          <t>W</t>
        </is>
      </c>
      <c r="V421" s="5">
        <f>IF(NOT(ISNUMBER(Q421)),"",IF(U421="W",IF(ISNUMBER(S421),S421-Q421,IF(ISNUMBER(P421),Q421*(P421-1),"")),IF(U421="L",-Q421,IF(U421="Push",0,""))))</f>
        <v/>
      </c>
      <c r="W421">
        <f>IF(NOT(ISNUMBER(R421)),"",IF(U421="W",IF(ISNUMBER(P421),R421*(P421-1),""),IF(U421="L",-R421,IF(U421="Push",0,""))))</f>
        <v/>
      </c>
      <c r="X421" t="inlineStr">
        <is>
          <t>graded from final</t>
        </is>
      </c>
      <c r="Y421" t="inlineStr">
        <is>
          <t>N</t>
        </is>
      </c>
      <c r="Z421" t="inlineStr">
        <is>
          <t>https://x.com/BookitWithTrent/status/2105682209835569575</t>
        </is>
      </c>
      <c r="AA421" t="inlineStr">
        <is>
          <t>"TNF MORTAL MEGA MAX" 2u; PrizePicks 1-pick "lose by less than 2.5 or win"</t>
        </is>
      </c>
      <c r="AB421" t="inlineStr">
        <is>
          <t>Single</t>
        </is>
      </c>
      <c r="AC421" s="5">
        <f>IF(ISNUMBER(V421),Q421,"")</f>
        <v/>
      </c>
      <c r="AD421">
        <f>IF(ISNUMBER(W421),R421,"")</f>
        <v/>
      </c>
    </row>
    <row r="422">
      <c r="A422" t="inlineStr">
        <is>
          <t>T-600351</t>
        </is>
      </c>
      <c r="B422" t="inlineStr">
        <is>
          <t>Trent</t>
        </is>
      </c>
      <c r="C422" s="2" t="n">
        <v>46296.51540509259</v>
      </c>
      <c r="D422">
        <f>IF(C422="","",TEXT(C422,"dddd"))</f>
        <v/>
      </c>
      <c r="E422" s="3" t="n">
        <v>46296</v>
      </c>
      <c r="F422">
        <f>IF(E422="","",TEXT(E422,"dddd"))</f>
        <v/>
      </c>
      <c r="G422" t="inlineStr">
        <is>
          <t>8:00 PM</t>
        </is>
      </c>
      <c r="H422" t="inlineStr">
        <is>
          <t>N</t>
        </is>
      </c>
      <c r="I422" t="inlineStr"/>
      <c r="J422" t="inlineStr">
        <is>
          <t>MLB</t>
        </is>
      </c>
      <c r="K422" t="inlineStr">
        <is>
          <t>MLB</t>
        </is>
      </c>
      <c r="L422" t="inlineStr">
        <is>
          <t>ML</t>
        </is>
      </c>
      <c r="M422" t="inlineStr">
        <is>
          <t>Atlanta Braves ML vs Phillies (NL WC G3)</t>
        </is>
      </c>
      <c r="N422" t="n">
        <v>1</v>
      </c>
      <c r="O422" t="inlineStr">
        <is>
          <t>-113</t>
        </is>
      </c>
      <c r="P422" s="4" t="n">
        <v>1.885</v>
      </c>
      <c r="Q422" s="5" t="n">
        <v>1325</v>
      </c>
      <c r="R422" t="n">
        <v>3</v>
      </c>
      <c r="S422" s="5" t="n">
        <v>2500</v>
      </c>
      <c r="T422" t="inlineStr">
        <is>
          <t>PrizePicks</t>
        </is>
      </c>
      <c r="U422" t="inlineStr">
        <is>
          <t>W</t>
        </is>
      </c>
      <c r="V422" s="5">
        <f>IF(NOT(ISNUMBER(Q422)),"",IF(U422="W",IF(ISNUMBER(S422),S422-Q422,IF(ISNUMBER(P422),Q422*(P422-1),"")),IF(U422="L",-Q422,IF(U422="Push",0,""))))</f>
        <v/>
      </c>
      <c r="W422">
        <f>IF(NOT(ISNUMBER(R422)),"",IF(U422="W",IF(ISNUMBER(P422),R422*(P422-1),""),IF(U422="L",-R422,IF(U422="Push",0,""))))</f>
        <v/>
      </c>
      <c r="X422" t="inlineStr">
        <is>
          <t>graded from final</t>
        </is>
      </c>
      <c r="Y422" t="inlineStr">
        <is>
          <t>N</t>
        </is>
      </c>
      <c r="Z422" t="inlineStr">
        <is>
          <t>https://x.com/BookitWithTrent/status/2105709877280600351</t>
        </is>
      </c>
      <c r="AA422" t="inlineStr">
        <is>
          <t>"NL WILD CARD MORTAL MEGA MAX" 3u</t>
        </is>
      </c>
      <c r="AB422" t="inlineStr">
        <is>
          <t>Single</t>
        </is>
      </c>
      <c r="AC422" s="5">
        <f>IF(ISNUMBER(V422),Q422,"")</f>
        <v/>
      </c>
      <c r="AD422">
        <f>IF(ISNUMBER(W422),R422,"")</f>
        <v/>
      </c>
    </row>
    <row r="423">
      <c r="A423" t="inlineStr">
        <is>
          <t>T-105786</t>
        </is>
      </c>
      <c r="B423" t="inlineStr">
        <is>
          <t>Trent</t>
        </is>
      </c>
      <c r="C423" s="2" t="n">
        <v>46296.60322916666</v>
      </c>
      <c r="D423">
        <f>IF(C423="","",TEXT(C423,"dddd"))</f>
        <v/>
      </c>
      <c r="E423" s="3" t="n">
        <v>46296</v>
      </c>
      <c r="F423">
        <f>IF(E423="","",TEXT(E423,"dddd"))</f>
        <v/>
      </c>
      <c r="G423" t="inlineStr">
        <is>
          <t>8:15 PM</t>
        </is>
      </c>
      <c r="H423" t="inlineStr">
        <is>
          <t>N</t>
        </is>
      </c>
      <c r="I423" t="inlineStr"/>
      <c r="J423" t="inlineStr">
        <is>
          <t>Other</t>
        </is>
      </c>
      <c r="K423" t="inlineStr">
        <is>
          <t>MLB + NFL</t>
        </is>
      </c>
      <c r="L423" t="inlineStr">
        <is>
          <t>PrizePicks/DFS</t>
        </is>
      </c>
      <c r="M423" t="inlineStr">
        <is>
          <t>Braves win vs Phillies; Browns win vs Steelers</t>
        </is>
      </c>
      <c r="N423" t="n">
        <v>2</v>
      </c>
      <c r="O423" t="inlineStr">
        <is>
          <t>+320</t>
        </is>
      </c>
      <c r="P423" s="4" t="n">
        <v>4.2</v>
      </c>
      <c r="Q423" s="5" t="n">
        <v>499.8</v>
      </c>
      <c r="R423" t="inlineStr"/>
      <c r="S423" s="5" t="n">
        <v>2100</v>
      </c>
      <c r="T423" t="inlineStr">
        <is>
          <t>PrizePicks</t>
        </is>
      </c>
      <c r="U423" t="inlineStr">
        <is>
          <t>W</t>
        </is>
      </c>
      <c r="V423" s="5">
        <f>IF(NOT(ISNUMBER(Q423)),"",IF(U423="W",IF(ISNUMBER(S423),S423-Q423,IF(ISNUMBER(P423),Q423*(P423-1),"")),IF(U423="L",-Q423,IF(U423="Push",0,""))))</f>
        <v/>
      </c>
      <c r="W423">
        <f>IF(NOT(ISNUMBER(R423)),"",IF(U423="W",IF(ISNUMBER(P423),R423*(P423-1),""),IF(U423="L",-R423,IF(U423="Push",0,""))))</f>
        <v/>
      </c>
      <c r="X423" t="inlineStr">
        <is>
          <t>graded from final</t>
        </is>
      </c>
      <c r="Y423" t="inlineStr">
        <is>
          <t>N</t>
        </is>
      </c>
      <c r="Z423" t="inlineStr">
        <is>
          <t>https://x.com/BookitWithTrent/status/2105741704578105786</t>
        </is>
      </c>
      <c r="AA423" t="inlineStr">
        <is>
          <t>"Braves &amp; Browns" 2-pick</t>
        </is>
      </c>
      <c r="AB423" t="inlineStr">
        <is>
          <t>Parlay/multi-leg</t>
        </is>
      </c>
      <c r="AC423" s="5">
        <f>IF(ISNUMBER(V423),Q423,"")</f>
        <v/>
      </c>
      <c r="AD423">
        <f>IF(ISNUMBER(W423),R423,"")</f>
        <v/>
      </c>
    </row>
    <row r="424">
      <c r="A424" t="inlineStr">
        <is>
          <t>S-762439</t>
        </is>
      </c>
      <c r="B424" t="inlineStr">
        <is>
          <t>Steve</t>
        </is>
      </c>
      <c r="C424" s="2" t="n">
        <v>46296.80653935186</v>
      </c>
      <c r="D424">
        <f>IF(C424="","",TEXT(C424,"dddd"))</f>
        <v/>
      </c>
      <c r="E424" s="3" t="n">
        <v>46296</v>
      </c>
      <c r="F424">
        <f>IF(E424="","",TEXT(E424,"dddd"))</f>
        <v/>
      </c>
      <c r="G424" t="inlineStr">
        <is>
          <t>8:15 PM</t>
        </is>
      </c>
      <c r="H424" t="inlineStr">
        <is>
          <t>Y</t>
        </is>
      </c>
      <c r="I424" t="inlineStr">
        <is>
          <t>TNF</t>
        </is>
      </c>
      <c r="J424" t="inlineStr">
        <is>
          <t>NFL</t>
        </is>
      </c>
      <c r="K424" t="inlineStr">
        <is>
          <t>NFL</t>
        </is>
      </c>
      <c r="L424" t="inlineStr">
        <is>
          <t>ML</t>
        </is>
      </c>
      <c r="M424" t="inlineStr">
        <is>
          <t>Pittsburgh Steelers ML vs Cleveland Browns (TNF, live)</t>
        </is>
      </c>
      <c r="N424" t="n">
        <v>1</v>
      </c>
      <c r="O424" t="inlineStr">
        <is>
          <t>-182</t>
        </is>
      </c>
      <c r="P424" s="4" t="n">
        <v>1.5495</v>
      </c>
      <c r="Q424" s="5" t="n">
        <v>175000</v>
      </c>
      <c r="R424" t="inlineStr"/>
      <c r="S424" s="5" t="n">
        <v>271250</v>
      </c>
      <c r="T424" t="inlineStr">
        <is>
          <t>Gamdom</t>
        </is>
      </c>
      <c r="U424" t="inlineStr">
        <is>
          <t>L</t>
        </is>
      </c>
      <c r="V424" s="5">
        <f>IF(NOT(ISNUMBER(Q424)),"",IF(U424="W",IF(ISNUMBER(S424),S424-Q424,IF(ISNUMBER(P424),Q424*(P424-1),"")),IF(U424="L",-Q424,IF(U424="Push",0,""))))</f>
        <v/>
      </c>
      <c r="W424">
        <f>IF(NOT(ISNUMBER(R424)),"",IF(U424="W",IF(ISNUMBER(P424),R424*(P424-1),""),IF(U424="L",-R424,IF(U424="Push",0,""))))</f>
        <v/>
      </c>
      <c r="X424" t="inlineStr">
        <is>
          <t>graded from final</t>
        </is>
      </c>
      <c r="Y424" t="inlineStr">
        <is>
          <t>Y - tags Gamdom</t>
        </is>
      </c>
      <c r="Z424" t="inlineStr">
        <is>
          <t>https://x.com/stevewilldoit/status/2105815381411762439</t>
        </is>
      </c>
      <c r="AA424" t="inlineStr">
        <is>
          <t>"Mexican steve live bet"</t>
        </is>
      </c>
      <c r="AB424" t="inlineStr">
        <is>
          <t>Single</t>
        </is>
      </c>
      <c r="AC424" s="5">
        <f>IF(ISNUMBER(V424),Q424,"")</f>
        <v/>
      </c>
      <c r="AD424">
        <f>IF(ISNUMBER(W424),R424,"")</f>
        <v/>
      </c>
    </row>
    <row r="425">
      <c r="A425" t="inlineStr">
        <is>
          <t>S-734619</t>
        </is>
      </c>
      <c r="B425" t="inlineStr">
        <is>
          <t>Steve</t>
        </is>
      </c>
      <c r="C425" s="2" t="n">
        <v>46296.81144675926</v>
      </c>
      <c r="D425">
        <f>IF(C425="","",TEXT(C425,"dddd"))</f>
        <v/>
      </c>
      <c r="E425" s="3" t="n">
        <v>46296</v>
      </c>
      <c r="F425">
        <f>IF(E425="","",TEXT(E425,"dddd"))</f>
        <v/>
      </c>
      <c r="G425" t="inlineStr">
        <is>
          <t>8:15 PM</t>
        </is>
      </c>
      <c r="H425" t="inlineStr">
        <is>
          <t>N</t>
        </is>
      </c>
      <c r="I425" t="inlineStr"/>
      <c r="J425" t="inlineStr">
        <is>
          <t>Other</t>
        </is>
      </c>
      <c r="K425" t="inlineStr">
        <is>
          <t>MLB + NFL</t>
        </is>
      </c>
      <c r="L425" t="inlineStr">
        <is>
          <t>parlay</t>
        </is>
      </c>
      <c r="M425" t="inlineStr">
        <is>
          <t>Atlanta Braves ML vs Phillies; Pittsburgh Steelers ML vs Browns</t>
        </is>
      </c>
      <c r="N425" t="n">
        <v>2</v>
      </c>
      <c r="O425" t="inlineStr">
        <is>
          <t>+160</t>
        </is>
      </c>
      <c r="P425" s="4" t="n">
        <v>2.6</v>
      </c>
      <c r="Q425" s="5" t="n">
        <v>100000</v>
      </c>
      <c r="R425" t="inlineStr"/>
      <c r="S425" s="5" t="n">
        <v>260000</v>
      </c>
      <c r="T425" t="inlineStr">
        <is>
          <t>Gamdom</t>
        </is>
      </c>
      <c r="U425" t="inlineStr">
        <is>
          <t>L</t>
        </is>
      </c>
      <c r="V425" s="5">
        <f>IF(NOT(ISNUMBER(Q425)),"",IF(U425="W",IF(ISNUMBER(S425),S425-Q425,IF(ISNUMBER(P425),Q425*(P425-1),"")),IF(U425="L",-Q425,IF(U425="Push",0,""))))</f>
        <v/>
      </c>
      <c r="W425">
        <f>IF(NOT(ISNUMBER(R425)),"",IF(U425="W",IF(ISNUMBER(P425),R425*(P425-1),""),IF(U425="L",-R425,IF(U425="Push",0,""))))</f>
        <v/>
      </c>
      <c r="X425" t="inlineStr">
        <is>
          <t>graded from final</t>
        </is>
      </c>
      <c r="Y425" t="inlineStr">
        <is>
          <t>Y - tags Gamdom</t>
        </is>
      </c>
      <c r="Z425" t="inlineStr">
        <is>
          <t>https://x.com/stevewilldoit/status/2105817159322734619</t>
        </is>
      </c>
      <c r="AA425" t="inlineStr">
        <is>
          <t>"Winner is Steelers. Idk why it doesn't say"</t>
        </is>
      </c>
      <c r="AB425" t="inlineStr">
        <is>
          <t>Parlay/multi-leg</t>
        </is>
      </c>
      <c r="AC425" s="5">
        <f>IF(ISNUMBER(V425),Q425,"")</f>
        <v/>
      </c>
      <c r="AD425">
        <f>IF(ISNUMBER(W425),R425,"")</f>
        <v/>
      </c>
    </row>
    <row r="426">
      <c r="A426" t="inlineStr">
        <is>
          <t>S-498146</t>
        </is>
      </c>
      <c r="B426" t="inlineStr">
        <is>
          <t>Steve</t>
        </is>
      </c>
      <c r="C426" s="2" t="n">
        <v>46297.43212962963</v>
      </c>
      <c r="D426">
        <f>IF(C426="","",TEXT(C426,"dddd"))</f>
        <v/>
      </c>
      <c r="E426" s="3" t="n">
        <v>46297</v>
      </c>
      <c r="F426">
        <f>IF(E426="","",TEXT(E426,"dddd"))</f>
        <v/>
      </c>
      <c r="G426" t="inlineStr">
        <is>
          <t>not matched</t>
        </is>
      </c>
      <c r="H426" t="inlineStr">
        <is>
          <t>N</t>
        </is>
      </c>
      <c r="I426" t="inlineStr"/>
      <c r="J426" t="inlineStr">
        <is>
          <t>Other</t>
        </is>
      </c>
      <c r="K426" t="inlineStr">
        <is>
          <t>NHL</t>
        </is>
      </c>
      <c r="L426" t="inlineStr">
        <is>
          <t>ML</t>
        </is>
      </c>
      <c r="M426" t="inlineStr">
        <is>
          <t>Detroit Red Wings ML vs New York Rangers</t>
        </is>
      </c>
      <c r="N426" t="n">
        <v>1</v>
      </c>
      <c r="O426" t="inlineStr">
        <is>
          <t>-133</t>
        </is>
      </c>
      <c r="P426" s="4" t="n">
        <v>1.7519</v>
      </c>
      <c r="Q426" s="5" t="n">
        <v>100000</v>
      </c>
      <c r="R426" t="inlineStr"/>
      <c r="S426" s="5" t="n">
        <v>175000</v>
      </c>
      <c r="T426" t="inlineStr">
        <is>
          <t>Gamdom</t>
        </is>
      </c>
      <c r="U426" t="inlineStr">
        <is>
          <t>L</t>
        </is>
      </c>
      <c r="V426" s="5">
        <f>IF(NOT(ISNUMBER(Q426)),"",IF(U426="W",IF(ISNUMBER(S426),S426-Q426,IF(ISNUMBER(P426),Q426*(P426-1),"")),IF(U426="L",-Q426,IF(U426="Push",0,""))))</f>
        <v/>
      </c>
      <c r="W426">
        <f>IF(NOT(ISNUMBER(R426)),"",IF(U426="W",IF(ISNUMBER(P426),R426*(P426-1),""),IF(U426="L",-R426,IF(U426="Push",0,""))))</f>
        <v/>
      </c>
      <c r="X426" t="inlineStr">
        <is>
          <t>graded from final</t>
        </is>
      </c>
      <c r="Y426" t="inlineStr">
        <is>
          <t>Y - tags Gamdom</t>
        </is>
      </c>
      <c r="Z426" t="inlineStr">
        <is>
          <t>https://x.com/stevewilldoit/status/2106042084746498146</t>
        </is>
      </c>
      <c r="AA426" t="inlineStr">
        <is>
          <t>6ix9ine/Danny pick; Final: NYR 2-0 DET (preseason)</t>
        </is>
      </c>
      <c r="AB426" t="inlineStr">
        <is>
          <t>Single</t>
        </is>
      </c>
      <c r="AC426" s="5">
        <f>IF(ISNUMBER(V426),Q426,"")</f>
        <v/>
      </c>
      <c r="AD426">
        <f>IF(ISNUMBER(W426),R426,"")</f>
        <v/>
      </c>
    </row>
    <row r="427">
      <c r="A427" t="inlineStr">
        <is>
          <t>T-996116</t>
        </is>
      </c>
      <c r="B427" t="inlineStr">
        <is>
          <t>Trent</t>
        </is>
      </c>
      <c r="C427" s="2" t="n">
        <v>46297.44978009259</v>
      </c>
      <c r="D427">
        <f>IF(C427="","",TEXT(C427,"dddd"))</f>
        <v/>
      </c>
      <c r="E427" s="3" t="n">
        <v>46297</v>
      </c>
      <c r="F427">
        <f>IF(E427="","",TEXT(E427,"dddd"))</f>
        <v/>
      </c>
      <c r="G427" t="inlineStr">
        <is>
          <t>7:00 PM</t>
        </is>
      </c>
      <c r="H427" t="inlineStr">
        <is>
          <t>Y</t>
        </is>
      </c>
      <c r="I427" t="inlineStr">
        <is>
          <t>CFB weeknight (Tue-Fri)</t>
        </is>
      </c>
      <c r="J427" t="inlineStr">
        <is>
          <t>CFB</t>
        </is>
      </c>
      <c r="K427" t="inlineStr">
        <is>
          <t>NCAAF</t>
        </is>
      </c>
      <c r="L427" t="inlineStr">
        <is>
          <t>ML</t>
        </is>
      </c>
      <c r="M427" t="inlineStr">
        <is>
          <t>Virginia Tech ML vs Pitt</t>
        </is>
      </c>
      <c r="N427" t="n">
        <v>1</v>
      </c>
      <c r="O427" t="inlineStr">
        <is>
          <t>-138</t>
        </is>
      </c>
      <c r="P427" s="4" t="n">
        <v>1.7246</v>
      </c>
      <c r="Q427" s="5" t="n">
        <v>2900</v>
      </c>
      <c r="R427" t="n">
        <v>5</v>
      </c>
      <c r="S427" s="5" t="n">
        <v>5000</v>
      </c>
      <c r="T427" t="inlineStr">
        <is>
          <t>PrizePicks</t>
        </is>
      </c>
      <c r="U427" t="inlineStr">
        <is>
          <t>L</t>
        </is>
      </c>
      <c r="V427" s="5">
        <f>IF(NOT(ISNUMBER(Q427)),"",IF(U427="W",IF(ISNUMBER(S427),S427-Q427,IF(ISNUMBER(P427),Q427*(P427-1),"")),IF(U427="L",-Q427,IF(U427="Push",0,""))))</f>
        <v/>
      </c>
      <c r="W427">
        <f>IF(NOT(ISNUMBER(R427)),"",IF(U427="W",IF(ISNUMBER(P427),R427*(P427-1),""),IF(U427="L",-R427,IF(U427="Push",0,""))))</f>
        <v/>
      </c>
      <c r="X427" t="inlineStr">
        <is>
          <t>graded from final</t>
        </is>
      </c>
      <c r="Y427" t="inlineStr">
        <is>
          <t>N</t>
        </is>
      </c>
      <c r="Z427" t="inlineStr">
        <is>
          <t>https://x.com/BookitWithTrent/status/2106048481919996116</t>
        </is>
      </c>
      <c r="AA427" t="inlineStr">
        <is>
          <t>"FRIDAY NIGHT MORTAL MEGA MAX: VIRGINIA TECH (5U) -2.5 SPREAD &amp; ML"</t>
        </is>
      </c>
      <c r="AB427" t="inlineStr">
        <is>
          <t>Single</t>
        </is>
      </c>
      <c r="AC427" s="5">
        <f>IF(ISNUMBER(V427),Q427,"")</f>
        <v/>
      </c>
      <c r="AD427">
        <f>IF(ISNUMBER(W427),R427,"")</f>
        <v/>
      </c>
    </row>
    <row r="428">
      <c r="A428" t="inlineStr">
        <is>
          <t>T-996116b</t>
        </is>
      </c>
      <c r="B428" t="inlineStr">
        <is>
          <t>Trent</t>
        </is>
      </c>
      <c r="C428" s="2" t="n">
        <v>46297.44978009259</v>
      </c>
      <c r="D428">
        <f>IF(C428="","",TEXT(C428,"dddd"))</f>
        <v/>
      </c>
      <c r="E428" s="3" t="n">
        <v>46297</v>
      </c>
      <c r="F428">
        <f>IF(E428="","",TEXT(E428,"dddd"))</f>
        <v/>
      </c>
      <c r="G428" t="inlineStr">
        <is>
          <t>7:00 PM</t>
        </is>
      </c>
      <c r="H428" t="inlineStr">
        <is>
          <t>Y</t>
        </is>
      </c>
      <c r="I428" t="inlineStr">
        <is>
          <t>CFB weeknight (Tue-Fri)</t>
        </is>
      </c>
      <c r="J428" t="inlineStr">
        <is>
          <t>CFB</t>
        </is>
      </c>
      <c r="K428" t="inlineStr">
        <is>
          <t>NCAAF</t>
        </is>
      </c>
      <c r="L428" t="inlineStr">
        <is>
          <t>spread</t>
        </is>
      </c>
      <c r="M428" t="inlineStr">
        <is>
          <t>Virginia Tech -2.5 vs Pitt</t>
        </is>
      </c>
      <c r="N428" t="n">
        <v>1</v>
      </c>
      <c r="O428" t="inlineStr">
        <is>
          <t>-115</t>
        </is>
      </c>
      <c r="P428" s="4" t="n">
        <v>1.8696</v>
      </c>
      <c r="Q428" s="5" t="n">
        <v>2434.59</v>
      </c>
      <c r="R428" t="inlineStr"/>
      <c r="S428" s="5" t="n">
        <v>4545</v>
      </c>
      <c r="T428" t="inlineStr">
        <is>
          <t>PrizePicks</t>
        </is>
      </c>
      <c r="U428" t="inlineStr">
        <is>
          <t>L</t>
        </is>
      </c>
      <c r="V428" s="5">
        <f>IF(NOT(ISNUMBER(Q428)),"",IF(U428="W",IF(ISNUMBER(S428),S428-Q428,IF(ISNUMBER(P428),Q428*(P428-1),"")),IF(U428="L",-Q428,IF(U428="Push",0,""))))</f>
        <v/>
      </c>
      <c r="W428">
        <f>IF(NOT(ISNUMBER(R428)),"",IF(U428="W",IF(ISNUMBER(P428),R428*(P428-1),""),IF(U428="L",-R428,IF(U428="Push",0,""))))</f>
        <v/>
      </c>
      <c r="X428" t="inlineStr">
        <is>
          <t>graded from final</t>
        </is>
      </c>
      <c r="Y428" t="inlineStr">
        <is>
          <t>N</t>
        </is>
      </c>
      <c r="Z428" t="inlineStr">
        <is>
          <t>https://x.com/BookitWithTrent/status/2106048481919996116</t>
        </is>
      </c>
      <c r="AA428" t="inlineStr">
        <is>
          <t>Second slip in same post ("win by more than 2.5")</t>
        </is>
      </c>
      <c r="AB428" t="inlineStr">
        <is>
          <t>Single</t>
        </is>
      </c>
      <c r="AC428" s="5">
        <f>IF(ISNUMBER(V428),Q428,"")</f>
        <v/>
      </c>
      <c r="AD428">
        <f>IF(ISNUMBER(W428),R428,"")</f>
        <v/>
      </c>
    </row>
    <row r="429">
      <c r="A429" t="inlineStr">
        <is>
          <t>S-828604</t>
        </is>
      </c>
      <c r="B429" t="inlineStr">
        <is>
          <t>Steve</t>
        </is>
      </c>
      <c r="C429" s="2" t="n">
        <v>46297.84371527778</v>
      </c>
      <c r="D429">
        <f>IF(C429="","",TEXT(C429,"dddd"))</f>
        <v/>
      </c>
      <c r="E429" s="3" t="n">
        <v>46298</v>
      </c>
      <c r="F429">
        <f>IF(E429="","",TEXT(E429,"dddd"))</f>
        <v/>
      </c>
      <c r="G429" t="inlineStr">
        <is>
          <t>not matched</t>
        </is>
      </c>
      <c r="H429" t="inlineStr">
        <is>
          <t>N</t>
        </is>
      </c>
      <c r="I429" t="inlineStr"/>
      <c r="J429" t="inlineStr">
        <is>
          <t>Other</t>
        </is>
      </c>
      <c r="K429" t="inlineStr">
        <is>
          <t>UFC 332</t>
        </is>
      </c>
      <c r="L429" t="inlineStr">
        <is>
          <t>parlay</t>
        </is>
      </c>
      <c r="M429" t="inlineStr">
        <is>
          <t>Natalia Silva ML vs Cong Wang; Esteban Ribovics ML vs King Green</t>
        </is>
      </c>
      <c r="N429" t="n">
        <v>2</v>
      </c>
      <c r="O429" t="inlineStr">
        <is>
          <t>+112</t>
        </is>
      </c>
      <c r="P429" s="4" t="n">
        <v>2.12</v>
      </c>
      <c r="Q429" s="5" t="n">
        <v>350000</v>
      </c>
      <c r="R429" t="inlineStr"/>
      <c r="S429" s="5" t="n">
        <v>742000</v>
      </c>
      <c r="T429" t="inlineStr">
        <is>
          <t>Gamdom</t>
        </is>
      </c>
      <c r="U429" t="inlineStr">
        <is>
          <t>W</t>
        </is>
      </c>
      <c r="V429" s="5">
        <f>IF(NOT(ISNUMBER(Q429)),"",IF(U429="W",IF(ISNUMBER(S429),S429-Q429,IF(ISNUMBER(P429),Q429*(P429-1),"")),IF(U429="L",-Q429,IF(U429="Push",0,""))))</f>
        <v/>
      </c>
      <c r="W429">
        <f>IF(NOT(ISNUMBER(R429)),"",IF(U429="W",IF(ISNUMBER(P429),R429*(P429-1),""),IF(U429="L",-R429,IF(U429="Push",0,""))))</f>
        <v/>
      </c>
      <c r="X429" t="inlineStr">
        <is>
          <t>posted</t>
        </is>
      </c>
      <c r="Y429" t="inlineStr">
        <is>
          <t>Y - tags Gamdom</t>
        </is>
      </c>
      <c r="Z429" t="inlineStr">
        <is>
          <t>https://x.com/stevewilldoit/status/2106191241406828604</t>
        </is>
      </c>
      <c r="AA429" t="inlineStr">
        <is>
          <t>"$350,000 RIDING ON THIS PARLAY"; Ribovics cashed per 834609; same two fighters cashed on Red Rock ticket ("$423k from my ufc ticket")</t>
        </is>
      </c>
      <c r="AB429" t="inlineStr">
        <is>
          <t>Parlay/multi-leg</t>
        </is>
      </c>
      <c r="AC429" s="5">
        <f>IF(ISNUMBER(V429),Q429,"")</f>
        <v/>
      </c>
      <c r="AD429">
        <f>IF(ISNUMBER(W429),R429,"")</f>
        <v/>
      </c>
    </row>
    <row r="430">
      <c r="A430" t="inlineStr">
        <is>
          <t>S-725143</t>
        </is>
      </c>
      <c r="B430" t="inlineStr">
        <is>
          <t>Steve</t>
        </is>
      </c>
      <c r="C430" s="2" t="n">
        <v>46297.91611111111</v>
      </c>
      <c r="D430">
        <f>IF(C430="","",TEXT(C430,"dddd"))</f>
        <v/>
      </c>
      <c r="E430" s="3" t="n">
        <v>46285</v>
      </c>
      <c r="F430">
        <f>IF(E430="","",TEXT(E430,"dddd"))</f>
        <v/>
      </c>
      <c r="G430" t="inlineStr">
        <is>
          <t>1:00 PM</t>
        </is>
      </c>
      <c r="H430" t="inlineStr">
        <is>
          <t>N</t>
        </is>
      </c>
      <c r="I430" t="inlineStr"/>
      <c r="J430" t="inlineStr">
        <is>
          <t>NFL</t>
        </is>
      </c>
      <c r="K430" t="inlineStr">
        <is>
          <t>NFL</t>
        </is>
      </c>
      <c r="L430" t="inlineStr">
        <is>
          <t>ML</t>
        </is>
      </c>
      <c r="M430" t="inlineStr">
        <is>
          <t>Cincinnati Bengals ML vs Houston Texans</t>
        </is>
      </c>
      <c r="N430" t="n">
        <v>1</v>
      </c>
      <c r="O430" t="inlineStr">
        <is>
          <t>+124</t>
        </is>
      </c>
      <c r="P430" s="4" t="n">
        <v>2.24</v>
      </c>
      <c r="Q430" s="5" t="n">
        <v>150000</v>
      </c>
      <c r="R430" t="inlineStr"/>
      <c r="S430" s="5" t="n">
        <v>336000</v>
      </c>
      <c r="T430" t="inlineStr">
        <is>
          <t>Gamdom</t>
        </is>
      </c>
      <c r="U430" t="inlineStr">
        <is>
          <t>W</t>
        </is>
      </c>
      <c r="V430" s="5">
        <f>IF(NOT(ISNUMBER(Q430)),"",IF(U430="W",IF(ISNUMBER(S430),S430-Q430,IF(ISNUMBER(P430),Q430*(P430-1),"")),IF(U430="L",-Q430,IF(U430="Push",0,""))))</f>
        <v/>
      </c>
      <c r="W430">
        <f>IF(NOT(ISNUMBER(R430)),"",IF(U430="W",IF(ISNUMBER(P430),R430*(P430-1),""),IF(U430="L",-R430,IF(U430="Push",0,""))))</f>
        <v/>
      </c>
      <c r="X430" t="inlineStr">
        <is>
          <t>graded from final</t>
        </is>
      </c>
      <c r="Y430" t="inlineStr">
        <is>
          <t>N</t>
        </is>
      </c>
      <c r="Z430" t="inlineStr">
        <is>
          <t>https://x.com/stevewilldoit/status/2106217475406725143</t>
        </is>
      </c>
      <c r="AA430" t="inlineStr"/>
      <c r="AB430" t="inlineStr">
        <is>
          <t>Single</t>
        </is>
      </c>
      <c r="AC430" s="5">
        <f>IF(ISNUMBER(V430),Q430,"")</f>
        <v/>
      </c>
      <c r="AD430">
        <f>IF(ISNUMBER(W430),R430,"")</f>
        <v/>
      </c>
    </row>
    <row r="431">
      <c r="A431" t="inlineStr">
        <is>
          <t>T-824923</t>
        </is>
      </c>
      <c r="B431" t="inlineStr">
        <is>
          <t>Trent</t>
        </is>
      </c>
      <c r="C431" s="2" t="n">
        <v>46298.38797453704</v>
      </c>
      <c r="D431">
        <f>IF(C431="","",TEXT(C431,"dddd"))</f>
        <v/>
      </c>
      <c r="E431" s="3" t="n">
        <v>46298</v>
      </c>
      <c r="F431">
        <f>IF(E431="","",TEXT(E431,"dddd"))</f>
        <v/>
      </c>
      <c r="G431" t="inlineStr">
        <is>
          <t>8:30 PM</t>
        </is>
      </c>
      <c r="H431" t="inlineStr">
        <is>
          <t>N</t>
        </is>
      </c>
      <c r="I431" t="inlineStr"/>
      <c r="J431" t="inlineStr">
        <is>
          <t>MLB</t>
        </is>
      </c>
      <c r="K431" t="inlineStr">
        <is>
          <t>MLB</t>
        </is>
      </c>
      <c r="L431" t="inlineStr">
        <is>
          <t>parlay</t>
        </is>
      </c>
      <c r="M431" t="inlineStr">
        <is>
          <t>Guardians win vs White Sox; ATL/LAD over 8.5 total runs; Rays F5 (yes) vs Yankees; Brewers win vs Padres</t>
        </is>
      </c>
      <c r="N431" t="n">
        <v>4</v>
      </c>
      <c r="O431" t="inlineStr">
        <is>
          <t>+777</t>
        </is>
      </c>
      <c r="P431" s="4" t="n">
        <v>8.77</v>
      </c>
      <c r="Q431" s="5" t="inlineStr"/>
      <c r="R431" t="inlineStr"/>
      <c r="S431" s="5" t="n">
        <v>10000</v>
      </c>
      <c r="T431" t="inlineStr">
        <is>
          <t>Predict (PrizePicks-style)</t>
        </is>
      </c>
      <c r="U431" t="inlineStr">
        <is>
          <t>L</t>
        </is>
      </c>
      <c r="V431" s="5">
        <f>IF(NOT(ISNUMBER(Q431)),"",IF(U431="W",IF(ISNUMBER(S431),S431-Q431,IF(ISNUMBER(P431),Q431*(P431-1),"")),IF(U431="L",-Q431,IF(U431="Push",0,""))))</f>
        <v/>
      </c>
      <c r="W431">
        <f>IF(NOT(ISNUMBER(R431)),"",IF(U431="W",IF(ISNUMBER(P431),R431*(P431-1),""),IF(U431="L",-R431,IF(U431="Push",0,""))))</f>
        <v/>
      </c>
      <c r="X431" t="inlineStr">
        <is>
          <t>graded from final</t>
        </is>
      </c>
      <c r="Y431" t="inlineStr">
        <is>
          <t>N</t>
        </is>
      </c>
      <c r="Z431" t="inlineStr">
        <is>
          <t>https://x.com/BookitWithTrent/status/2106388474202824923</t>
        </is>
      </c>
      <c r="AA431" t="inlineStr">
        <is>
          <t>"MLB Post Season Parlay for $10k"; 8.77x multiplier, $10,000 to win; stake not shown</t>
        </is>
      </c>
      <c r="AB431" t="inlineStr">
        <is>
          <t>Parlay/multi-leg</t>
        </is>
      </c>
      <c r="AC431" s="5">
        <f>IF(ISNUMBER(V431),Q431,"")</f>
        <v/>
      </c>
      <c r="AD431">
        <f>IF(ISNUMBER(W431),R431,"")</f>
        <v/>
      </c>
    </row>
    <row r="432">
      <c r="A432" t="inlineStr">
        <is>
          <t>T-694445</t>
        </is>
      </c>
      <c r="B432" t="inlineStr">
        <is>
          <t>Trent</t>
        </is>
      </c>
      <c r="C432" s="2" t="n">
        <v>46298.39877314815</v>
      </c>
      <c r="D432">
        <f>IF(C432="","",TEXT(C432,"dddd"))</f>
        <v/>
      </c>
      <c r="E432" s="3" t="n">
        <v>46298</v>
      </c>
      <c r="F432">
        <f>IF(E432="","",TEXT(E432,"dddd"))</f>
        <v/>
      </c>
      <c r="G432" t="inlineStr">
        <is>
          <t>7:30 PM</t>
        </is>
      </c>
      <c r="H432" t="inlineStr">
        <is>
          <t>N</t>
        </is>
      </c>
      <c r="I432" t="inlineStr"/>
      <c r="J432" t="inlineStr">
        <is>
          <t>CFB</t>
        </is>
      </c>
      <c r="K432" t="inlineStr">
        <is>
          <t>NCAAF</t>
        </is>
      </c>
      <c r="L432" t="inlineStr">
        <is>
          <t>PrizePicks/DFS</t>
        </is>
      </c>
      <c r="M432" t="inlineStr">
        <is>
          <t>Michigan win vs Minnesota; Alabama win vs Mississippi State; Tennessee win vs Auburn; Florida win vs Missouri; USC win vs Washington; South Carolina win vs Kentucky</t>
        </is>
      </c>
      <c r="N432" t="n">
        <v>6</v>
      </c>
      <c r="O432" t="inlineStr">
        <is>
          <t>+777</t>
        </is>
      </c>
      <c r="P432" s="4" t="n">
        <v>8.77</v>
      </c>
      <c r="Q432" s="5" t="n">
        <v>1140</v>
      </c>
      <c r="R432" t="inlineStr"/>
      <c r="S432" s="5" t="n">
        <v>10000</v>
      </c>
      <c r="T432" t="inlineStr">
        <is>
          <t>PrizePicks</t>
        </is>
      </c>
      <c r="U432" t="inlineStr">
        <is>
          <t>L</t>
        </is>
      </c>
      <c r="V432" s="5">
        <f>IF(NOT(ISNUMBER(Q432)),"",IF(U432="W",IF(ISNUMBER(S432),S432-Q432,IF(ISNUMBER(P432),Q432*(P432-1),"")),IF(U432="L",-Q432,IF(U432="Push",0,""))))</f>
        <v/>
      </c>
      <c r="W432">
        <f>IF(NOT(ISNUMBER(R432)),"",IF(U432="W",IF(ISNUMBER(P432),R432*(P432-1),""),IF(U432="L",-R432,IF(U432="Push",0,""))))</f>
        <v/>
      </c>
      <c r="X432" t="inlineStr">
        <is>
          <t>graded from final</t>
        </is>
      </c>
      <c r="Y432" t="inlineStr">
        <is>
          <t>N</t>
        </is>
      </c>
      <c r="Z432" t="inlineStr">
        <is>
          <t>https://x.com/BookitWithTrent/status/2106392386628694445</t>
        </is>
      </c>
      <c r="AA432" t="inlineStr">
        <is>
          <t>"CFB SURGICAL SIX"</t>
        </is>
      </c>
      <c r="AB432" t="inlineStr">
        <is>
          <t>Parlay/multi-leg</t>
        </is>
      </c>
      <c r="AC432" s="5">
        <f>IF(ISNUMBER(V432),Q432,"")</f>
        <v/>
      </c>
      <c r="AD432">
        <f>IF(ISNUMBER(W432),R432,"")</f>
        <v/>
      </c>
    </row>
    <row r="433">
      <c r="A433" t="inlineStr">
        <is>
          <t>S-572313</t>
        </is>
      </c>
      <c r="B433" t="inlineStr">
        <is>
          <t>Steve</t>
        </is>
      </c>
      <c r="C433" s="2" t="n">
        <v>46298.43171296296</v>
      </c>
      <c r="D433">
        <f>IF(C433="","",TEXT(C433,"dddd"))</f>
        <v/>
      </c>
      <c r="E433" s="3" t="n">
        <v>46298</v>
      </c>
      <c r="F433">
        <f>IF(E433="","",TEXT(E433,"dddd"))</f>
        <v/>
      </c>
      <c r="G433" t="inlineStr">
        <is>
          <t>not matched</t>
        </is>
      </c>
      <c r="H433" t="inlineStr">
        <is>
          <t>N</t>
        </is>
      </c>
      <c r="I433" t="inlineStr"/>
      <c r="J433" t="inlineStr">
        <is>
          <t>Other</t>
        </is>
      </c>
      <c r="K433" t="inlineStr">
        <is>
          <t>UFC 332</t>
        </is>
      </c>
      <c r="L433" t="inlineStr">
        <is>
          <t>parlay</t>
        </is>
      </c>
      <c r="M433" t="inlineStr">
        <is>
          <t>Natalia Silva ML (-220); Esteban Ribovics ML (-220)</t>
        </is>
      </c>
      <c r="N433" t="n">
        <v>2</v>
      </c>
      <c r="O433" t="inlineStr">
        <is>
          <t>+112</t>
        </is>
      </c>
      <c r="P433" s="4" t="n">
        <v>2.12</v>
      </c>
      <c r="Q433" s="5" t="n">
        <v>200000</v>
      </c>
      <c r="R433" t="inlineStr"/>
      <c r="S433" s="5" t="n">
        <v>423140.5</v>
      </c>
      <c r="T433" t="inlineStr">
        <is>
          <t>Red Rock (sportsbook)</t>
        </is>
      </c>
      <c r="U433" t="inlineStr">
        <is>
          <t>W</t>
        </is>
      </c>
      <c r="V433" s="5">
        <f>IF(NOT(ISNUMBER(Q433)),"",IF(U433="W",IF(ISNUMBER(S433),S433-Q433,IF(ISNUMBER(P433),Q433*(P433-1),"")),IF(U433="L",-Q433,IF(U433="Push",0,""))))</f>
        <v/>
      </c>
      <c r="W433">
        <f>IF(NOT(ISNUMBER(R433)),"",IF(U433="W",IF(ISNUMBER(P433),R433*(P433-1),""),IF(U433="L",-R433,IF(U433="Push",0,""))))</f>
        <v/>
      </c>
      <c r="X433" t="inlineStr">
        <is>
          <t>posted</t>
        </is>
      </c>
      <c r="Y433" t="inlineStr">
        <is>
          <t>N</t>
        </is>
      </c>
      <c r="Z433" t="inlineStr">
        <is>
          <t>https://x.com/stevewilldoit/status/2106404322833572313</t>
        </is>
      </c>
      <c r="AA433" t="inlineStr">
        <is>
          <t>"UFC LOCK OF THE DAY"; Red Rock ticket to win $223,140.50; "$423k from my ufc ticket"</t>
        </is>
      </c>
      <c r="AB433" t="inlineStr">
        <is>
          <t>Parlay/multi-leg</t>
        </is>
      </c>
      <c r="AC433" s="5">
        <f>IF(ISNUMBER(V433),Q433,"")</f>
        <v/>
      </c>
      <c r="AD433">
        <f>IF(ISNUMBER(W433),R433,"")</f>
        <v/>
      </c>
    </row>
    <row r="434">
      <c r="A434" t="inlineStr">
        <is>
          <t>S-572313b</t>
        </is>
      </c>
      <c r="B434" t="inlineStr">
        <is>
          <t>Steve</t>
        </is>
      </c>
      <c r="C434" s="2" t="n">
        <v>46298.43171296296</v>
      </c>
      <c r="D434">
        <f>IF(C434="","",TEXT(C434,"dddd"))</f>
        <v/>
      </c>
      <c r="E434" s="3" t="n">
        <v>46299</v>
      </c>
      <c r="F434">
        <f>IF(E434="","",TEXT(E434,"dddd"))</f>
        <v/>
      </c>
      <c r="G434" t="inlineStr">
        <is>
          <t>8:20 PM</t>
        </is>
      </c>
      <c r="H434" t="inlineStr">
        <is>
          <t>N</t>
        </is>
      </c>
      <c r="I434" t="inlineStr"/>
      <c r="J434" t="inlineStr">
        <is>
          <t>NFL</t>
        </is>
      </c>
      <c r="K434" t="inlineStr">
        <is>
          <t>NFL</t>
        </is>
      </c>
      <c r="L434" t="inlineStr">
        <is>
          <t>parlay</t>
        </is>
      </c>
      <c r="M434" t="inlineStr">
        <is>
          <t>Detroit Lions ML (-200); Kansas City Chiefs ML (-220)</t>
        </is>
      </c>
      <c r="N434" t="n">
        <v>2</v>
      </c>
      <c r="O434" t="inlineStr">
        <is>
          <t>+118</t>
        </is>
      </c>
      <c r="P434" s="4" t="n">
        <v>2.18</v>
      </c>
      <c r="Q434" s="5" t="n">
        <v>200000</v>
      </c>
      <c r="R434" t="inlineStr"/>
      <c r="S434" s="5" t="n">
        <v>436363.65</v>
      </c>
      <c r="T434" t="inlineStr">
        <is>
          <t>Red Rock (sportsbook)</t>
        </is>
      </c>
      <c r="U434" t="inlineStr">
        <is>
          <t>L</t>
        </is>
      </c>
      <c r="V434" s="5">
        <f>IF(NOT(ISNUMBER(Q434)),"",IF(U434="W",IF(ISNUMBER(S434),S434-Q434,IF(ISNUMBER(P434),Q434*(P434-1),"")),IF(U434="L",-Q434,IF(U434="Push",0,""))))</f>
        <v/>
      </c>
      <c r="W434">
        <f>IF(NOT(ISNUMBER(R434)),"",IF(U434="W",IF(ISNUMBER(P434),R434*(P434-1),""),IF(U434="L",-R434,IF(U434="Push",0,""))))</f>
        <v/>
      </c>
      <c r="X434" t="inlineStr">
        <is>
          <t>graded from final</t>
        </is>
      </c>
      <c r="Y434" t="inlineStr">
        <is>
          <t>N</t>
        </is>
      </c>
      <c r="Z434" t="inlineStr">
        <is>
          <t>https://x.com/stevewilldoit/status/2106404322833572313</t>
        </is>
      </c>
      <c r="AA434" t="inlineStr">
        <is>
          <t>Red Rock ticket to win $236,363.65</t>
        </is>
      </c>
      <c r="AB434" t="inlineStr">
        <is>
          <t>Parlay/multi-leg</t>
        </is>
      </c>
      <c r="AC434" s="5">
        <f>IF(ISNUMBER(V434),Q434,"")</f>
        <v/>
      </c>
      <c r="AD434">
        <f>IF(ISNUMBER(W434),R434,"")</f>
        <v/>
      </c>
    </row>
    <row r="435">
      <c r="A435" t="inlineStr">
        <is>
          <t>S-994863</t>
        </is>
      </c>
      <c r="B435" t="inlineStr">
        <is>
          <t>Steve</t>
        </is>
      </c>
      <c r="C435" s="2" t="n">
        <v>46298.7550462963</v>
      </c>
      <c r="D435">
        <f>IF(C435="","",TEXT(C435,"dddd"))</f>
        <v/>
      </c>
      <c r="E435" s="3" t="n">
        <v>46298</v>
      </c>
      <c r="F435">
        <f>IF(E435="","",TEXT(E435,"dddd"))</f>
        <v/>
      </c>
      <c r="G435" t="inlineStr">
        <is>
          <t>not matched</t>
        </is>
      </c>
      <c r="H435" t="inlineStr">
        <is>
          <t>N</t>
        </is>
      </c>
      <c r="I435" t="inlineStr"/>
      <c r="J435" t="inlineStr">
        <is>
          <t>Other</t>
        </is>
      </c>
      <c r="K435" t="inlineStr">
        <is>
          <t>Soccer - Intl friendly</t>
        </is>
      </c>
      <c r="L435" t="inlineStr">
        <is>
          <t>double chance</t>
        </is>
      </c>
      <c r="M435" t="inlineStr">
        <is>
          <t>Mexico/Draw double chance vs USA (90 min)</t>
        </is>
      </c>
      <c r="N435" t="n">
        <v>1</v>
      </c>
      <c r="O435" t="inlineStr">
        <is>
          <t>-250</t>
        </is>
      </c>
      <c r="P435" s="4" t="n">
        <v>1.4</v>
      </c>
      <c r="Q435" s="5" t="n">
        <v>250000</v>
      </c>
      <c r="R435" t="inlineStr"/>
      <c r="S435" s="5" t="n">
        <v>350000</v>
      </c>
      <c r="T435" t="inlineStr">
        <is>
          <t>Red Rock (sportsbook)</t>
        </is>
      </c>
      <c r="U435" t="inlineStr">
        <is>
          <t>L</t>
        </is>
      </c>
      <c r="V435" s="5">
        <f>IF(NOT(ISNUMBER(Q435)),"",IF(U435="W",IF(ISNUMBER(S435),S435-Q435,IF(ISNUMBER(P435),Q435*(P435-1),"")),IF(U435="L",-Q435,IF(U435="Push",0,""))))</f>
        <v/>
      </c>
      <c r="W435">
        <f>IF(NOT(ISNUMBER(R435)),"",IF(U435="W",IF(ISNUMBER(P435),R435*(P435-1),""),IF(U435="L",-R435,IF(U435="Push",0,""))))</f>
        <v/>
      </c>
      <c r="X435" t="inlineStr">
        <is>
          <t>posted</t>
        </is>
      </c>
      <c r="Y435" t="inlineStr">
        <is>
          <t>N</t>
        </is>
      </c>
      <c r="Z435" t="inlineStr">
        <is>
          <t>https://x.com/stevewilldoit/status/2106521497665994863</t>
        </is>
      </c>
      <c r="AA435" t="inlineStr">
        <is>
          <t>Red Rock ticket; USA won 3-0 (screenshot 269502); "yesterday's Mexico disaster"</t>
        </is>
      </c>
      <c r="AB435" t="inlineStr">
        <is>
          <t>Single</t>
        </is>
      </c>
      <c r="AC435" s="5">
        <f>IF(ISNUMBER(V435),Q435,"")</f>
        <v/>
      </c>
      <c r="AD435">
        <f>IF(ISNUMBER(W435),R435,"")</f>
        <v/>
      </c>
    </row>
    <row r="436">
      <c r="A436" t="inlineStr">
        <is>
          <t>S-808722</t>
        </is>
      </c>
      <c r="B436" t="inlineStr">
        <is>
          <t>Steve</t>
        </is>
      </c>
      <c r="C436" s="2" t="n">
        <v>46298.77932870371</v>
      </c>
      <c r="D436">
        <f>IF(C436="","",TEXT(C436,"dddd"))</f>
        <v/>
      </c>
      <c r="E436" s="3" t="n">
        <v>46298</v>
      </c>
      <c r="F436">
        <f>IF(E436="","",TEXT(E436,"dddd"))</f>
        <v/>
      </c>
      <c r="G436" t="inlineStr">
        <is>
          <t>not matched</t>
        </is>
      </c>
      <c r="H436" t="inlineStr">
        <is>
          <t>N</t>
        </is>
      </c>
      <c r="I436" t="inlineStr"/>
      <c r="J436" t="inlineStr">
        <is>
          <t>Other</t>
        </is>
      </c>
      <c r="K436" t="inlineStr">
        <is>
          <t>Soccer - Intl friendly</t>
        </is>
      </c>
      <c r="L436" t="inlineStr">
        <is>
          <t>spread</t>
        </is>
      </c>
      <c r="M436" t="inlineStr">
        <is>
          <t>Mexico (0) Asian handicap vs USA</t>
        </is>
      </c>
      <c r="N436" t="n">
        <v>1</v>
      </c>
      <c r="O436" t="inlineStr">
        <is>
          <t>-139</t>
        </is>
      </c>
      <c r="P436" s="4" t="n">
        <v>1.7194</v>
      </c>
      <c r="Q436" s="5" t="n">
        <v>300000</v>
      </c>
      <c r="R436" t="inlineStr"/>
      <c r="S436" s="5" t="n">
        <v>516000</v>
      </c>
      <c r="T436" t="inlineStr">
        <is>
          <t>Gamdom</t>
        </is>
      </c>
      <c r="U436" t="inlineStr">
        <is>
          <t>L</t>
        </is>
      </c>
      <c r="V436" s="5">
        <f>IF(NOT(ISNUMBER(Q436)),"",IF(U436="W",IF(ISNUMBER(S436),S436-Q436,IF(ISNUMBER(P436),Q436*(P436-1),"")),IF(U436="L",-Q436,IF(U436="Push",0,""))))</f>
        <v/>
      </c>
      <c r="W436">
        <f>IF(NOT(ISNUMBER(R436)),"",IF(U436="W",IF(ISNUMBER(P436),R436*(P436-1),""),IF(U436="L",-R436,IF(U436="Push",0,""))))</f>
        <v/>
      </c>
      <c r="X436" t="inlineStr">
        <is>
          <t>posted</t>
        </is>
      </c>
      <c r="Y436" t="inlineStr">
        <is>
          <t>Y - tags Gamdom</t>
        </is>
      </c>
      <c r="Z436" t="inlineStr">
        <is>
          <t>https://x.com/stevewilldoit/status/2106530295784808722</t>
        </is>
      </c>
      <c r="AA436" t="inlineStr">
        <is>
          <t>"Push or win?? Don't even see an option to lose"; USA won 3-0; "Mexico disaster"</t>
        </is>
      </c>
      <c r="AB436" t="inlineStr">
        <is>
          <t>Single</t>
        </is>
      </c>
      <c r="AC436" s="5">
        <f>IF(ISNUMBER(V436),Q436,"")</f>
        <v/>
      </c>
      <c r="AD436">
        <f>IF(ISNUMBER(W436),R436,"")</f>
        <v/>
      </c>
    </row>
    <row r="437">
      <c r="A437" t="inlineStr">
        <is>
          <t>S-567192</t>
        </is>
      </c>
      <c r="B437" t="inlineStr">
        <is>
          <t>Steve</t>
        </is>
      </c>
      <c r="C437" s="2" t="n">
        <v>46299.18989583333</v>
      </c>
      <c r="D437">
        <f>IF(C437="","",TEXT(C437,"dddd"))</f>
        <v/>
      </c>
      <c r="E437" s="3" t="n">
        <v>46299</v>
      </c>
      <c r="F437">
        <f>IF(E437="","",TEXT(E437,"dddd"))</f>
        <v/>
      </c>
      <c r="G437" t="inlineStr">
        <is>
          <t>8:20 PM</t>
        </is>
      </c>
      <c r="H437" t="inlineStr">
        <is>
          <t>N</t>
        </is>
      </c>
      <c r="I437" t="inlineStr"/>
      <c r="J437" t="inlineStr">
        <is>
          <t>NFL</t>
        </is>
      </c>
      <c r="K437" t="inlineStr">
        <is>
          <t>NFL</t>
        </is>
      </c>
      <c r="L437" t="inlineStr">
        <is>
          <t>parlay</t>
        </is>
      </c>
      <c r="M437" t="inlineStr">
        <is>
          <t>Chicago Bears ML vs Jets; Kansas City Chiefs ML vs Raiders; Detroit Lions ML vs Panthers; Buffalo Bills ML vs Patriots; San Francisco 49ers ML vs Broncos</t>
        </is>
      </c>
      <c r="N437" t="n">
        <v>5</v>
      </c>
      <c r="O437" t="inlineStr">
        <is>
          <t>+634</t>
        </is>
      </c>
      <c r="P437" s="4" t="n">
        <v>7.34</v>
      </c>
      <c r="Q437" s="5" t="n">
        <v>50000</v>
      </c>
      <c r="R437" t="inlineStr"/>
      <c r="S437" s="5" t="n">
        <v>367000</v>
      </c>
      <c r="T437" t="inlineStr">
        <is>
          <t>Gamdom</t>
        </is>
      </c>
      <c r="U437" t="inlineStr">
        <is>
          <t>L</t>
        </is>
      </c>
      <c r="V437" s="5">
        <f>IF(NOT(ISNUMBER(Q437)),"",IF(U437="W",IF(ISNUMBER(S437),S437-Q437,IF(ISNUMBER(P437),Q437*(P437-1),"")),IF(U437="L",-Q437,IF(U437="Push",0,""))))</f>
        <v/>
      </c>
      <c r="W437">
        <f>IF(NOT(ISNUMBER(R437)),"",IF(U437="W",IF(ISNUMBER(P437),R437*(P437-1),""),IF(U437="L",-R437,IF(U437="Push",0,""))))</f>
        <v/>
      </c>
      <c r="X437" t="inlineStr">
        <is>
          <t>graded from final</t>
        </is>
      </c>
      <c r="Y437" t="inlineStr">
        <is>
          <t>Y - tags Gamdom</t>
        </is>
      </c>
      <c r="Z437" t="inlineStr">
        <is>
          <t>https://x.com/stevewilldoit/status/2106679078241567192</t>
        </is>
      </c>
      <c r="AA437" t="inlineStr">
        <is>
          <t>Placed 2:30 AM ("secured $367,000 back... $50,000 →")</t>
        </is>
      </c>
      <c r="AB437" t="inlineStr">
        <is>
          <t>Parlay/multi-leg</t>
        </is>
      </c>
      <c r="AC437" s="5">
        <f>IF(ISNUMBER(V437),Q437,"")</f>
        <v/>
      </c>
      <c r="AD437">
        <f>IF(ISNUMBER(W437),R437,"")</f>
        <v/>
      </c>
    </row>
    <row r="438">
      <c r="A438" t="inlineStr">
        <is>
          <t>T-548178</t>
        </is>
      </c>
      <c r="B438" t="inlineStr">
        <is>
          <t>Trent</t>
        </is>
      </c>
      <c r="C438" s="2" t="n">
        <v>46299.19782407407</v>
      </c>
      <c r="D438">
        <f>IF(C438="","",TEXT(C438,"dddd"))</f>
        <v/>
      </c>
      <c r="E438" s="3" t="n">
        <v>46299</v>
      </c>
      <c r="F438">
        <f>IF(E438="","",TEXT(E438,"dddd"))</f>
        <v/>
      </c>
      <c r="G438" t="inlineStr">
        <is>
          <t>8:20 PM</t>
        </is>
      </c>
      <c r="H438" t="inlineStr">
        <is>
          <t>N</t>
        </is>
      </c>
      <c r="I438" t="inlineStr"/>
      <c r="J438" t="inlineStr">
        <is>
          <t>NFL</t>
        </is>
      </c>
      <c r="K438" t="inlineStr">
        <is>
          <t>NFL</t>
        </is>
      </c>
      <c r="L438" t="inlineStr">
        <is>
          <t>parlay</t>
        </is>
      </c>
      <c r="M438" t="inlineStr">
        <is>
          <t>Rams ML; Ravens ML; Bengals ML; Chiefs ML; Seahawks ML; Lions ML (Week 4 Surgical Six)</t>
        </is>
      </c>
      <c r="N438" t="n">
        <v>6</v>
      </c>
      <c r="O438" t="inlineStr">
        <is>
          <t>+1000 (graphic)</t>
        </is>
      </c>
      <c r="P438" s="4" t="inlineStr"/>
      <c r="Q438" s="5" t="inlineStr"/>
      <c r="R438" t="inlineStr"/>
      <c r="S438" s="5" t="inlineStr">
        <is>
          <t>not shown</t>
        </is>
      </c>
      <c r="T438" t="inlineStr">
        <is>
          <t>PrizePicks (tagged)</t>
        </is>
      </c>
      <c r="U438" t="inlineStr">
        <is>
          <t>L</t>
        </is>
      </c>
      <c r="V438" s="5">
        <f>IF(NOT(ISNUMBER(Q438)),"",IF(U438="W",IF(ISNUMBER(S438),S438-Q438,IF(ISNUMBER(P438),Q438*(P438-1),"")),IF(U438="L",-Q438,IF(U438="Push",0,""))))</f>
        <v/>
      </c>
      <c r="W438">
        <f>IF(NOT(ISNUMBER(R438)),"",IF(U438="W",IF(ISNUMBER(P438),R438*(P438-1),""),IF(U438="L",-R438,IF(U438="Push",0,""))))</f>
        <v/>
      </c>
      <c r="X438" t="inlineStr">
        <is>
          <t>graded from final</t>
        </is>
      </c>
      <c r="Y438" t="inlineStr">
        <is>
          <t>N</t>
        </is>
      </c>
      <c r="Z438" t="inlineStr">
        <is>
          <t>https://x.com/BookitWithTrent/status/2106681952627548178</t>
        </is>
      </c>
      <c r="AA438" t="inlineStr">
        <is>
          <t>Graphic only, no slip/stake shown</t>
        </is>
      </c>
      <c r="AB438" t="inlineStr">
        <is>
          <t>Parlay/multi-leg</t>
        </is>
      </c>
      <c r="AC438" s="5">
        <f>IF(ISNUMBER(V438),Q438,"")</f>
        <v/>
      </c>
      <c r="AD438">
        <f>IF(ISNUMBER(W438),R438,"")</f>
        <v/>
      </c>
    </row>
    <row r="439">
      <c r="A439" t="inlineStr">
        <is>
          <t>S-074963</t>
        </is>
      </c>
      <c r="B439" t="inlineStr">
        <is>
          <t>Steve</t>
        </is>
      </c>
      <c r="C439" s="2" t="n">
        <v>46299.20912037037</v>
      </c>
      <c r="D439">
        <f>IF(C439="","",TEXT(C439,"dddd"))</f>
        <v/>
      </c>
      <c r="E439" s="3" t="n">
        <v>46299</v>
      </c>
      <c r="F439">
        <f>IF(E439="","",TEXT(E439,"dddd"))</f>
        <v/>
      </c>
      <c r="G439" t="inlineStr">
        <is>
          <t>not matched</t>
        </is>
      </c>
      <c r="H439" t="inlineStr">
        <is>
          <t>Unknown</t>
        </is>
      </c>
      <c r="I439" t="inlineStr">
        <is>
          <t>kickoff not matched</t>
        </is>
      </c>
      <c r="J439" t="inlineStr">
        <is>
          <t>NFL</t>
        </is>
      </c>
      <c r="K439" t="inlineStr">
        <is>
          <t>NFL</t>
        </is>
      </c>
      <c r="L439" t="inlineStr">
        <is>
          <t>parlay</t>
        </is>
      </c>
      <c r="M439" t="inlineStr">
        <is>
          <t>Buffalo Bills ML vs Patriots; San Francisco 49ers ML vs Broncos</t>
        </is>
      </c>
      <c r="N439" t="n">
        <v>2</v>
      </c>
      <c r="O439" t="inlineStr">
        <is>
          <t>+123</t>
        </is>
      </c>
      <c r="P439" s="4" t="n">
        <v>2.23</v>
      </c>
      <c r="Q439" s="5" t="n">
        <v>200000</v>
      </c>
      <c r="R439" t="inlineStr"/>
      <c r="S439" s="5" t="n">
        <v>446000</v>
      </c>
      <c r="T439" t="inlineStr">
        <is>
          <t>Gamdom</t>
        </is>
      </c>
      <c r="U439" t="inlineStr">
        <is>
          <t>Push</t>
        </is>
      </c>
      <c r="V439" s="5">
        <f>IF(NOT(ISNUMBER(Q439)),"",IF(U439="W",IF(ISNUMBER(S439),S439-Q439,IF(ISNUMBER(P439),Q439*(P439-1),"")),IF(U439="L",-Q439,IF(U439="Push",0,""))))</f>
        <v/>
      </c>
      <c r="W439">
        <f>IF(NOT(ISNUMBER(R439)),"",IF(U439="W",IF(ISNUMBER(P439),R439*(P439-1),""),IF(U439="L",-R439,IF(U439="Push",0,""))))</f>
        <v/>
      </c>
      <c r="X439" t="inlineStr">
        <is>
          <t>posted</t>
        </is>
      </c>
      <c r="Y439" t="inlineStr">
        <is>
          <t>Y - tags Gamdom</t>
        </is>
      </c>
      <c r="Z439" t="inlineStr">
        <is>
          <t>https://x.com/stevewilldoit/status/2106686047728074963</t>
        </is>
      </c>
      <c r="AA439" t="inlineStr">
        <is>
          <t>Voided ("VOIDED"; "IM VOIDING. Not fading @MexicanSteve3"); stake returned</t>
        </is>
      </c>
      <c r="AB439" t="inlineStr">
        <is>
          <t>Parlay/multi-leg</t>
        </is>
      </c>
      <c r="AC439" s="5">
        <f>IF(ISNUMBER(V439),Q439,"")</f>
        <v/>
      </c>
      <c r="AD439">
        <f>IF(ISNUMBER(W439),R439,"")</f>
        <v/>
      </c>
    </row>
    <row r="440">
      <c r="A440" t="inlineStr">
        <is>
          <t>T-039321</t>
        </is>
      </c>
      <c r="B440" t="inlineStr">
        <is>
          <t>Trent</t>
        </is>
      </c>
      <c r="C440" s="2" t="n">
        <v>46299.24730324074</v>
      </c>
      <c r="D440">
        <f>IF(C440="","",TEXT(C440,"dddd"))</f>
        <v/>
      </c>
      <c r="E440" s="3" t="n">
        <v>46299</v>
      </c>
      <c r="F440">
        <f>IF(E440="","",TEXT(E440,"dddd"))</f>
        <v/>
      </c>
      <c r="G440" t="inlineStr">
        <is>
          <t>not matched</t>
        </is>
      </c>
      <c r="H440" t="inlineStr">
        <is>
          <t>Unknown</t>
        </is>
      </c>
      <c r="I440" t="inlineStr">
        <is>
          <t>kickoff not matched</t>
        </is>
      </c>
      <c r="J440" t="inlineStr">
        <is>
          <t>NFL</t>
        </is>
      </c>
      <c r="K440" t="inlineStr">
        <is>
          <t>NFL</t>
        </is>
      </c>
      <c r="L440" t="inlineStr">
        <is>
          <t>PrizePicks/DFS</t>
        </is>
      </c>
      <c r="M440" t="inlineStr">
        <is>
          <t>Chase Brown o84.5 rush+rec yds; Matthew Stafford o249.5 pass yds; Derrick Henry o97.5 rush yds; Patrick Mahomes o240.5 pass yds; Emanuel Wilson o58.5 rush+rec yds; Amon-Ra St. Brown o75.5 rec yds</t>
        </is>
      </c>
      <c r="N440" t="n">
        <v>6</v>
      </c>
      <c r="O440" t="inlineStr">
        <is>
          <t>+3650</t>
        </is>
      </c>
      <c r="P440" s="4" t="n">
        <v>37.5</v>
      </c>
      <c r="Q440" s="5" t="n">
        <v>500</v>
      </c>
      <c r="R440" t="inlineStr"/>
      <c r="S440" s="5" t="n">
        <v>18750</v>
      </c>
      <c r="T440" t="inlineStr">
        <is>
          <t>PrizePicks</t>
        </is>
      </c>
      <c r="U440" t="inlineStr">
        <is>
          <t>L</t>
        </is>
      </c>
      <c r="V440" s="5">
        <f>IF(NOT(ISNUMBER(Q440)),"",IF(U440="W",IF(ISNUMBER(S440),S440-Q440,IF(ISNUMBER(P440),Q440*(P440-1),"")),IF(U440="L",-Q440,IF(U440="Push",0,""))))</f>
        <v/>
      </c>
      <c r="W440">
        <f>IF(NOT(ISNUMBER(R440)),"",IF(U440="W",IF(ISNUMBER(P440),R440*(P440-1),""),IF(U440="L",-R440,IF(U440="Push",0,""))))</f>
        <v/>
      </c>
      <c r="X440" t="inlineStr">
        <is>
          <t>graded from final</t>
        </is>
      </c>
      <c r="Y440" t="inlineStr">
        <is>
          <t>N</t>
        </is>
      </c>
      <c r="Z440" t="inlineStr">
        <is>
          <t>https://x.com/BookitWithTrent/status/2106699884334039321</t>
        </is>
      </c>
      <c r="AA440" t="inlineStr">
        <is>
          <t>"this shit prolly not cashing"; Final: Chase Brown 81 rush+rec, Henry 73</t>
        </is>
      </c>
      <c r="AB440" t="inlineStr">
        <is>
          <t>Parlay/multi-leg</t>
        </is>
      </c>
      <c r="AC440" s="5">
        <f>IF(ISNUMBER(V440),Q440,"")</f>
        <v/>
      </c>
      <c r="AD440">
        <f>IF(ISNUMBER(W440),R440,"")</f>
        <v/>
      </c>
    </row>
    <row r="441">
      <c r="A441" t="inlineStr">
        <is>
          <t>T-671239</t>
        </is>
      </c>
      <c r="B441" t="inlineStr">
        <is>
          <t>Trent</t>
        </is>
      </c>
      <c r="C441" s="2" t="n">
        <v>46299.28525462963</v>
      </c>
      <c r="D441">
        <f>IF(C441="","",TEXT(C441,"dddd"))</f>
        <v/>
      </c>
      <c r="E441" s="3" t="n">
        <v>46299</v>
      </c>
      <c r="F441">
        <f>IF(E441="","",TEXT(E441,"dddd"))</f>
        <v/>
      </c>
      <c r="G441" t="inlineStr">
        <is>
          <t>not matched</t>
        </is>
      </c>
      <c r="H441" t="inlineStr">
        <is>
          <t>Unknown</t>
        </is>
      </c>
      <c r="I441" t="inlineStr">
        <is>
          <t>kickoff not matched</t>
        </is>
      </c>
      <c r="J441" t="inlineStr">
        <is>
          <t>NFL</t>
        </is>
      </c>
      <c r="K441" t="inlineStr">
        <is>
          <t>NFL</t>
        </is>
      </c>
      <c r="L441" t="inlineStr">
        <is>
          <t>spread</t>
        </is>
      </c>
      <c r="M441" t="inlineStr">
        <is>
          <t>Indianapolis Colts -4.5 vs Commanders (London)</t>
        </is>
      </c>
      <c r="N441" t="n">
        <v>1</v>
      </c>
      <c r="O441" t="inlineStr">
        <is>
          <t>not shown</t>
        </is>
      </c>
      <c r="P441" s="4" t="inlineStr"/>
      <c r="Q441" s="5" t="inlineStr"/>
      <c r="R441" t="n">
        <v>4</v>
      </c>
      <c r="S441" s="5" t="inlineStr"/>
      <c r="T441" t="inlineStr">
        <is>
          <t>not shown</t>
        </is>
      </c>
      <c r="U441" t="inlineStr">
        <is>
          <t>W</t>
        </is>
      </c>
      <c r="V441" s="5">
        <f>IF(NOT(ISNUMBER(Q441)),"",IF(U441="W",IF(ISNUMBER(S441),S441-Q441,IF(ISNUMBER(P441),Q441*(P441-1),"")),IF(U441="L",-Q441,IF(U441="Push",0,""))))</f>
        <v/>
      </c>
      <c r="W441">
        <f>IF(NOT(ISNUMBER(R441)),"",IF(U441="W",IF(ISNUMBER(P441),R441*(P441-1),""),IF(U441="L",-R441,IF(U441="Push",0,""))))</f>
        <v/>
      </c>
      <c r="X441" t="inlineStr">
        <is>
          <t>posted</t>
        </is>
      </c>
      <c r="Y441" t="inlineStr">
        <is>
          <t>N</t>
        </is>
      </c>
      <c r="Z441" t="inlineStr">
        <is>
          <t>https://x.com/BookitWithTrent/status/2106713637150671239</t>
        </is>
      </c>
      <c r="AA441" t="inlineStr">
        <is>
          <t>"SMF MORTAL MEGA MAX" 4u; "Shit was free ✅✅✅✅ We move to 5-7"</t>
        </is>
      </c>
      <c r="AB441" t="inlineStr">
        <is>
          <t>Single</t>
        </is>
      </c>
      <c r="AC441" s="5">
        <f>IF(ISNUMBER(V441),Q441,"")</f>
        <v/>
      </c>
      <c r="AD441">
        <f>IF(ISNUMBER(W441),R441,"")</f>
        <v/>
      </c>
    </row>
    <row r="442">
      <c r="A442" t="inlineStr">
        <is>
          <t>T-862245</t>
        </is>
      </c>
      <c r="B442" t="inlineStr">
        <is>
          <t>Trent</t>
        </is>
      </c>
      <c r="C442" s="2" t="n">
        <v>46299.28792824074</v>
      </c>
      <c r="D442">
        <f>IF(C442="","",TEXT(C442,"dddd"))</f>
        <v/>
      </c>
      <c r="E442" s="3" t="n">
        <v>46299</v>
      </c>
      <c r="F442">
        <f>IF(E442="","",TEXT(E442,"dddd"))</f>
        <v/>
      </c>
      <c r="G442" t="inlineStr">
        <is>
          <t>not matched</t>
        </is>
      </c>
      <c r="H442" t="inlineStr">
        <is>
          <t>Unknown</t>
        </is>
      </c>
      <c r="I442" t="inlineStr">
        <is>
          <t>kickoff not matched</t>
        </is>
      </c>
      <c r="J442" t="inlineStr">
        <is>
          <t>NFL</t>
        </is>
      </c>
      <c r="K442" t="inlineStr">
        <is>
          <t>NFL</t>
        </is>
      </c>
      <c r="L442" t="inlineStr">
        <is>
          <t>first TD</t>
        </is>
      </c>
      <c r="M442" t="inlineStr">
        <is>
          <t>Josh Downs first TD scorer (London)</t>
        </is>
      </c>
      <c r="N442" t="n">
        <v>1</v>
      </c>
      <c r="O442" t="inlineStr">
        <is>
          <t>+1000</t>
        </is>
      </c>
      <c r="P442" s="4" t="n">
        <v>11</v>
      </c>
      <c r="Q442" s="5" t="inlineStr"/>
      <c r="R442" t="inlineStr"/>
      <c r="S442" s="5" t="inlineStr"/>
      <c r="T442" t="inlineStr">
        <is>
          <t>not shown</t>
        </is>
      </c>
      <c r="U442" t="inlineStr">
        <is>
          <t>L</t>
        </is>
      </c>
      <c r="V442" s="5">
        <f>IF(NOT(ISNUMBER(Q442)),"",IF(U442="W",IF(ISNUMBER(S442),S442-Q442,IF(ISNUMBER(P442),Q442*(P442-1),"")),IF(U442="L",-Q442,IF(U442="Push",0,""))))</f>
        <v/>
      </c>
      <c r="W442">
        <f>IF(NOT(ISNUMBER(R442)),"",IF(U442="W",IF(ISNUMBER(P442),R442*(P442-1),""),IF(U442="L",-R442,IF(U442="Push",0,""))))</f>
        <v/>
      </c>
      <c r="X442" t="inlineStr">
        <is>
          <t>posted</t>
        </is>
      </c>
      <c r="Y442" t="inlineStr">
        <is>
          <t>N</t>
        </is>
      </c>
      <c r="Z442" t="inlineStr">
        <is>
          <t>https://x.com/BookitWithTrent/status/2106714605472862245</t>
        </is>
      </c>
      <c r="AA442" t="inlineStr">
        <is>
          <t>"Congrats to all Taylor -150 first TD bettors"; record to 1-11</t>
        </is>
      </c>
      <c r="AB442" t="inlineStr">
        <is>
          <t>Single</t>
        </is>
      </c>
      <c r="AC442" s="5">
        <f>IF(ISNUMBER(V442),Q442,"")</f>
        <v/>
      </c>
      <c r="AD442">
        <f>IF(ISNUMBER(W442),R442,"")</f>
        <v/>
      </c>
    </row>
    <row r="443">
      <c r="A443" t="inlineStr">
        <is>
          <t>S-559694</t>
        </is>
      </c>
      <c r="B443" t="inlineStr">
        <is>
          <t>Steve</t>
        </is>
      </c>
      <c r="C443" s="2" t="n">
        <v>46299.40275462963</v>
      </c>
      <c r="D443">
        <f>IF(C443="","",TEXT(C443,"dddd"))</f>
        <v/>
      </c>
      <c r="E443" s="3" t="n">
        <v>46299</v>
      </c>
      <c r="F443">
        <f>IF(E443="","",TEXT(E443,"dddd"))</f>
        <v/>
      </c>
      <c r="G443" t="inlineStr">
        <is>
          <t>8:20 PM</t>
        </is>
      </c>
      <c r="H443" t="inlineStr">
        <is>
          <t>N</t>
        </is>
      </c>
      <c r="I443" t="inlineStr"/>
      <c r="J443" t="inlineStr">
        <is>
          <t>NFL</t>
        </is>
      </c>
      <c r="K443" t="inlineStr">
        <is>
          <t>NFL</t>
        </is>
      </c>
      <c r="L443" t="inlineStr">
        <is>
          <t>parlay</t>
        </is>
      </c>
      <c r="M443" t="inlineStr">
        <is>
          <t>Chicago Bears ML vs Jets; Baltimore Ravens ML vs Titans; Kansas City Chiefs ML vs Raiders; Detroit Lions ML vs Panthers; San Francisco 49ers ML vs Broncos</t>
        </is>
      </c>
      <c r="N443" t="n">
        <v>5</v>
      </c>
      <c r="O443" t="inlineStr">
        <is>
          <t>+518</t>
        </is>
      </c>
      <c r="P443" s="4" t="n">
        <v>6.18</v>
      </c>
      <c r="Q443" s="5" t="n">
        <v>100000</v>
      </c>
      <c r="R443" t="inlineStr"/>
      <c r="S443" s="5" t="n">
        <v>618000</v>
      </c>
      <c r="T443" t="inlineStr">
        <is>
          <t>Gamdom</t>
        </is>
      </c>
      <c r="U443" t="inlineStr">
        <is>
          <t>L</t>
        </is>
      </c>
      <c r="V443" s="5">
        <f>IF(NOT(ISNUMBER(Q443)),"",IF(U443="W",IF(ISNUMBER(S443),S443-Q443,IF(ISNUMBER(P443),Q443*(P443-1),"")),IF(U443="L",-Q443,IF(U443="Push",0,""))))</f>
        <v/>
      </c>
      <c r="W443">
        <f>IF(NOT(ISNUMBER(R443)),"",IF(U443="W",IF(ISNUMBER(P443),R443*(P443-1),""),IF(U443="L",-R443,IF(U443="Push",0,""))))</f>
        <v/>
      </c>
      <c r="X443" t="inlineStr">
        <is>
          <t>graded from final</t>
        </is>
      </c>
      <c r="Y443" t="inlineStr">
        <is>
          <t>Y - tags Gamdom, promo/giveaway language</t>
        </is>
      </c>
      <c r="Z443" t="inlineStr">
        <is>
          <t>https://x.com/stevewilldoit/status/2106756218165559694</t>
        </is>
      </c>
      <c r="AA443" t="inlineStr">
        <is>
          <t>"$550,000 ON NFL TODAY"</t>
        </is>
      </c>
      <c r="AB443" t="inlineStr">
        <is>
          <t>Parlay/multi-leg</t>
        </is>
      </c>
      <c r="AC443" s="5">
        <f>IF(ISNUMBER(V443),Q443,"")</f>
        <v/>
      </c>
      <c r="AD443">
        <f>IF(ISNUMBER(W443),R443,"")</f>
        <v/>
      </c>
    </row>
    <row r="444">
      <c r="A444" t="inlineStr">
        <is>
          <t>S-559694b</t>
        </is>
      </c>
      <c r="B444" t="inlineStr">
        <is>
          <t>Steve</t>
        </is>
      </c>
      <c r="C444" s="2" t="n">
        <v>46299.40275462963</v>
      </c>
      <c r="D444">
        <f>IF(C444="","",TEXT(C444,"dddd"))</f>
        <v/>
      </c>
      <c r="E444" s="3" t="n">
        <v>46299</v>
      </c>
      <c r="F444">
        <f>IF(E444="","",TEXT(E444,"dddd"))</f>
        <v/>
      </c>
      <c r="G444" t="inlineStr">
        <is>
          <t>1:00 PM</t>
        </is>
      </c>
      <c r="H444" t="inlineStr">
        <is>
          <t>N</t>
        </is>
      </c>
      <c r="I444" t="inlineStr"/>
      <c r="J444" t="inlineStr">
        <is>
          <t>NFL</t>
        </is>
      </c>
      <c r="K444" t="inlineStr">
        <is>
          <t>NFL</t>
        </is>
      </c>
      <c r="L444" t="inlineStr">
        <is>
          <t>ML</t>
        </is>
      </c>
      <c r="M444" t="inlineStr">
        <is>
          <t>Arizona Cardinals ML vs New York Giants</t>
        </is>
      </c>
      <c r="N444" t="n">
        <v>1</v>
      </c>
      <c r="O444" t="inlineStr">
        <is>
          <t>-141</t>
        </is>
      </c>
      <c r="P444" s="4" t="n">
        <v>1.7092</v>
      </c>
      <c r="Q444" s="5" t="n">
        <v>150000</v>
      </c>
      <c r="R444" t="inlineStr"/>
      <c r="S444" s="5" t="n">
        <v>256500</v>
      </c>
      <c r="T444" t="inlineStr">
        <is>
          <t>Gamdom</t>
        </is>
      </c>
      <c r="U444" t="inlineStr">
        <is>
          <t>L</t>
        </is>
      </c>
      <c r="V444" s="5">
        <f>IF(NOT(ISNUMBER(Q444)),"",IF(U444="W",IF(ISNUMBER(S444),S444-Q444,IF(ISNUMBER(P444),Q444*(P444-1),"")),IF(U444="L",-Q444,IF(U444="Push",0,""))))</f>
        <v/>
      </c>
      <c r="W444">
        <f>IF(NOT(ISNUMBER(R444)),"",IF(U444="W",IF(ISNUMBER(P444),R444*(P444-1),""),IF(U444="L",-R444,IF(U444="Push",0,""))))</f>
        <v/>
      </c>
      <c r="X444" t="inlineStr">
        <is>
          <t>graded from final</t>
        </is>
      </c>
      <c r="Y444" t="inlineStr">
        <is>
          <t>Y - tags Gamdom, promo/giveaway language</t>
        </is>
      </c>
      <c r="Z444" t="inlineStr">
        <is>
          <t>https://x.com/stevewilldoit/status/2106756218165559694</t>
        </is>
      </c>
      <c r="AA444" t="inlineStr">
        <is>
          <t>"Cardinals + Jaguars are my dogs"</t>
        </is>
      </c>
      <c r="AB444" t="inlineStr">
        <is>
          <t>Single</t>
        </is>
      </c>
      <c r="AC444" s="5">
        <f>IF(ISNUMBER(V444),Q444,"")</f>
        <v/>
      </c>
      <c r="AD444">
        <f>IF(ISNUMBER(W444),R444,"")</f>
        <v/>
      </c>
    </row>
    <row r="445">
      <c r="A445" t="inlineStr">
        <is>
          <t>S-559694c</t>
        </is>
      </c>
      <c r="B445" t="inlineStr">
        <is>
          <t>Steve</t>
        </is>
      </c>
      <c r="C445" s="2" t="n">
        <v>46299.40275462963</v>
      </c>
      <c r="D445">
        <f>IF(C445="","",TEXT(C445,"dddd"))</f>
        <v/>
      </c>
      <c r="E445" s="3" t="n">
        <v>46299</v>
      </c>
      <c r="F445">
        <f>IF(E445="","",TEXT(E445,"dddd"))</f>
        <v/>
      </c>
      <c r="G445" t="inlineStr">
        <is>
          <t>1:00 PM</t>
        </is>
      </c>
      <c r="H445" t="inlineStr">
        <is>
          <t>N</t>
        </is>
      </c>
      <c r="I445" t="inlineStr"/>
      <c r="J445" t="inlineStr">
        <is>
          <t>NFL</t>
        </is>
      </c>
      <c r="K445" t="inlineStr">
        <is>
          <t>NFL</t>
        </is>
      </c>
      <c r="L445" t="inlineStr">
        <is>
          <t>ML</t>
        </is>
      </c>
      <c r="M445" t="inlineStr">
        <is>
          <t>Jacksonville Jaguars ML vs Cincinnati Bengals</t>
        </is>
      </c>
      <c r="N445" t="n">
        <v>1</v>
      </c>
      <c r="O445" t="inlineStr">
        <is>
          <t>+122</t>
        </is>
      </c>
      <c r="P445" s="4" t="n">
        <v>2.22</v>
      </c>
      <c r="Q445" s="5" t="n">
        <v>100000</v>
      </c>
      <c r="R445" t="inlineStr"/>
      <c r="S445" s="5" t="n">
        <v>222000</v>
      </c>
      <c r="T445" t="inlineStr">
        <is>
          <t>Gamdom</t>
        </is>
      </c>
      <c r="U445" t="inlineStr">
        <is>
          <t>W</t>
        </is>
      </c>
      <c r="V445" s="5">
        <f>IF(NOT(ISNUMBER(Q445)),"",IF(U445="W",IF(ISNUMBER(S445),S445-Q445,IF(ISNUMBER(P445),Q445*(P445-1),"")),IF(U445="L",-Q445,IF(U445="Push",0,""))))</f>
        <v/>
      </c>
      <c r="W445">
        <f>IF(NOT(ISNUMBER(R445)),"",IF(U445="W",IF(ISNUMBER(P445),R445*(P445-1),""),IF(U445="L",-R445,IF(U445="Push",0,""))))</f>
        <v/>
      </c>
      <c r="X445" t="inlineStr">
        <is>
          <t>graded from final</t>
        </is>
      </c>
      <c r="Y445" t="inlineStr">
        <is>
          <t>Y - tags Gamdom, promo/giveaway language</t>
        </is>
      </c>
      <c r="Z445" t="inlineStr">
        <is>
          <t>https://x.com/stevewilldoit/status/2106756218165559694</t>
        </is>
      </c>
      <c r="AA445" t="inlineStr"/>
      <c r="AB445" t="inlineStr">
        <is>
          <t>Single</t>
        </is>
      </c>
      <c r="AC445" s="5">
        <f>IF(ISNUMBER(V445),Q445,"")</f>
        <v/>
      </c>
      <c r="AD445">
        <f>IF(ISNUMBER(W445),R445,"")</f>
        <v/>
      </c>
    </row>
    <row r="446">
      <c r="A446" t="inlineStr">
        <is>
          <t>S-559694d</t>
        </is>
      </c>
      <c r="B446" t="inlineStr">
        <is>
          <t>Steve</t>
        </is>
      </c>
      <c r="C446" s="2" t="n">
        <v>46299.40275462963</v>
      </c>
      <c r="D446">
        <f>IF(C446="","",TEXT(C446,"dddd"))</f>
        <v/>
      </c>
      <c r="E446" s="3" t="n">
        <v>46299</v>
      </c>
      <c r="F446">
        <f>IF(E446="","",TEXT(E446,"dddd"))</f>
        <v/>
      </c>
      <c r="G446" t="inlineStr">
        <is>
          <t>8:20 PM</t>
        </is>
      </c>
      <c r="H446" t="inlineStr">
        <is>
          <t>N</t>
        </is>
      </c>
      <c r="I446" t="inlineStr"/>
      <c r="J446" t="inlineStr">
        <is>
          <t>NFL</t>
        </is>
      </c>
      <c r="K446" t="inlineStr">
        <is>
          <t>NFL</t>
        </is>
      </c>
      <c r="L446" t="inlineStr">
        <is>
          <t>parlay</t>
        </is>
      </c>
      <c r="M446" t="inlineStr">
        <is>
          <t>Baltimore Ravens ML vs Titans; Kansas City Chiefs ML vs Raiders; Detroit Lions ML vs Panthers</t>
        </is>
      </c>
      <c r="N446" t="n">
        <v>3</v>
      </c>
      <c r="O446" t="inlineStr">
        <is>
          <t>+144</t>
        </is>
      </c>
      <c r="P446" s="4" t="n">
        <v>2.44</v>
      </c>
      <c r="Q446" s="5" t="n">
        <v>200000</v>
      </c>
      <c r="R446" t="inlineStr"/>
      <c r="S446" s="5" t="n">
        <v>488000</v>
      </c>
      <c r="T446" t="inlineStr">
        <is>
          <t>Gamdom</t>
        </is>
      </c>
      <c r="U446" t="inlineStr">
        <is>
          <t>L</t>
        </is>
      </c>
      <c r="V446" s="5">
        <f>IF(NOT(ISNUMBER(Q446)),"",IF(U446="W",IF(ISNUMBER(S446),S446-Q446,IF(ISNUMBER(P446),Q446*(P446-1),"")),IF(U446="L",-Q446,IF(U446="Push",0,""))))</f>
        <v/>
      </c>
      <c r="W446">
        <f>IF(NOT(ISNUMBER(R446)),"",IF(U446="W",IF(ISNUMBER(P446),R446*(P446-1),""),IF(U446="L",-R446,IF(U446="Push",0,""))))</f>
        <v/>
      </c>
      <c r="X446" t="inlineStr">
        <is>
          <t>graded from final</t>
        </is>
      </c>
      <c r="Y446" t="inlineStr">
        <is>
          <t>Y - tags Gamdom, promo/giveaway language</t>
        </is>
      </c>
      <c r="Z446" t="inlineStr">
        <is>
          <t>https://x.com/stevewilldoit/status/2106756218165559694</t>
        </is>
      </c>
      <c r="AA446" t="inlineStr"/>
      <c r="AB446" t="inlineStr">
        <is>
          <t>Parlay/multi-leg</t>
        </is>
      </c>
      <c r="AC446" s="5">
        <f>IF(ISNUMBER(V446),Q446,"")</f>
        <v/>
      </c>
      <c r="AD446">
        <f>IF(ISNUMBER(W446),R446,"")</f>
        <v/>
      </c>
    </row>
    <row r="447">
      <c r="A447" t="inlineStr">
        <is>
          <t>S-415881</t>
        </is>
      </c>
      <c r="B447" t="inlineStr">
        <is>
          <t>Steve</t>
        </is>
      </c>
      <c r="C447" s="2" t="n">
        <v>46299.47775462963</v>
      </c>
      <c r="D447">
        <f>IF(C447="","",TEXT(C447,"dddd"))</f>
        <v/>
      </c>
      <c r="E447" s="3" t="n">
        <v>46299</v>
      </c>
      <c r="F447">
        <f>IF(E447="","",TEXT(E447,"dddd"))</f>
        <v/>
      </c>
      <c r="G447" t="inlineStr">
        <is>
          <t>4:25 PM</t>
        </is>
      </c>
      <c r="H447" t="inlineStr">
        <is>
          <t>N</t>
        </is>
      </c>
      <c r="I447" t="inlineStr"/>
      <c r="J447" t="inlineStr">
        <is>
          <t>NFL</t>
        </is>
      </c>
      <c r="K447" t="inlineStr">
        <is>
          <t>NFL</t>
        </is>
      </c>
      <c r="L447" t="inlineStr">
        <is>
          <t>ML</t>
        </is>
      </c>
      <c r="M447" t="inlineStr">
        <is>
          <t>Kansas City Chiefs ML vs Las Vegas Raiders</t>
        </is>
      </c>
      <c r="N447" t="n">
        <v>1</v>
      </c>
      <c r="O447" t="inlineStr">
        <is>
          <t>-217</t>
        </is>
      </c>
      <c r="P447" s="4" t="n">
        <v>1.4608</v>
      </c>
      <c r="Q447" s="5" t="n">
        <v>100000</v>
      </c>
      <c r="R447" t="inlineStr"/>
      <c r="S447" s="5" t="n">
        <v>146000</v>
      </c>
      <c r="T447" t="inlineStr">
        <is>
          <t>Gamdom</t>
        </is>
      </c>
      <c r="U447" t="inlineStr">
        <is>
          <t>W</t>
        </is>
      </c>
      <c r="V447" s="5">
        <f>IF(NOT(ISNUMBER(Q447)),"",IF(U447="W",IF(ISNUMBER(S447),S447-Q447,IF(ISNUMBER(P447),Q447*(P447-1),"")),IF(U447="L",-Q447,IF(U447="Push",0,""))))</f>
        <v/>
      </c>
      <c r="W447">
        <f>IF(NOT(ISNUMBER(R447)),"",IF(U447="W",IF(ISNUMBER(P447),R447*(P447-1),""),IF(U447="L",-R447,IF(U447="Push",0,""))))</f>
        <v/>
      </c>
      <c r="X447" t="inlineStr">
        <is>
          <t>graded from final</t>
        </is>
      </c>
      <c r="Y447" t="inlineStr">
        <is>
          <t>Y - tags Gamdom</t>
        </is>
      </c>
      <c r="Z447" t="inlineStr">
        <is>
          <t>https://x.com/stevewilldoit/status/2106783396676415881</t>
        </is>
      </c>
      <c r="AA447" t="inlineStr">
        <is>
          <t>From "My picks on @gamdom today" collage</t>
        </is>
      </c>
      <c r="AB447" t="inlineStr">
        <is>
          <t>Single</t>
        </is>
      </c>
      <c r="AC447" s="5">
        <f>IF(ISNUMBER(V447),Q447,"")</f>
        <v/>
      </c>
      <c r="AD447">
        <f>IF(ISNUMBER(W447),R447,"")</f>
        <v/>
      </c>
    </row>
    <row r="448">
      <c r="A448" t="inlineStr">
        <is>
          <t>S-415881b</t>
        </is>
      </c>
      <c r="B448" t="inlineStr">
        <is>
          <t>Steve</t>
        </is>
      </c>
      <c r="C448" s="2" t="n">
        <v>46299.47775462963</v>
      </c>
      <c r="D448">
        <f>IF(C448="","",TEXT(C448,"dddd"))</f>
        <v/>
      </c>
      <c r="E448" s="3" t="n">
        <v>46299</v>
      </c>
      <c r="F448">
        <f>IF(E448="","",TEXT(E448,"dddd"))</f>
        <v/>
      </c>
      <c r="G448" t="inlineStr">
        <is>
          <t>8:20 PM</t>
        </is>
      </c>
      <c r="H448" t="inlineStr">
        <is>
          <t>Y</t>
        </is>
      </c>
      <c r="I448" t="inlineStr">
        <is>
          <t>SNF</t>
        </is>
      </c>
      <c r="J448" t="inlineStr">
        <is>
          <t>NFL</t>
        </is>
      </c>
      <c r="K448" t="inlineStr">
        <is>
          <t>NFL</t>
        </is>
      </c>
      <c r="L448" t="inlineStr">
        <is>
          <t>ML</t>
        </is>
      </c>
      <c r="M448" t="inlineStr">
        <is>
          <t>Detroit Lions ML vs Carolina Panthers</t>
        </is>
      </c>
      <c r="N448" t="n">
        <v>1</v>
      </c>
      <c r="O448" t="inlineStr">
        <is>
          <t>-204</t>
        </is>
      </c>
      <c r="P448" s="4" t="n">
        <v>1.4902</v>
      </c>
      <c r="Q448" s="5" t="n">
        <v>100000</v>
      </c>
      <c r="R448" t="inlineStr"/>
      <c r="S448" s="5" t="n">
        <v>149000</v>
      </c>
      <c r="T448" t="inlineStr">
        <is>
          <t>Gamdom</t>
        </is>
      </c>
      <c r="U448" t="inlineStr">
        <is>
          <t>L</t>
        </is>
      </c>
      <c r="V448" s="5">
        <f>IF(NOT(ISNUMBER(Q448)),"",IF(U448="W",IF(ISNUMBER(S448),S448-Q448,IF(ISNUMBER(P448),Q448*(P448-1),"")),IF(U448="L",-Q448,IF(U448="Push",0,""))))</f>
        <v/>
      </c>
      <c r="W448">
        <f>IF(NOT(ISNUMBER(R448)),"",IF(U448="W",IF(ISNUMBER(P448),R448*(P448-1),""),IF(U448="L",-R448,IF(U448="Push",0,""))))</f>
        <v/>
      </c>
      <c r="X448" t="inlineStr">
        <is>
          <t>graded from final</t>
        </is>
      </c>
      <c r="Y448" t="inlineStr">
        <is>
          <t>Y - tags Gamdom</t>
        </is>
      </c>
      <c r="Z448" t="inlineStr">
        <is>
          <t>https://x.com/stevewilldoit/status/2106783396676415881</t>
        </is>
      </c>
      <c r="AA448" t="inlineStr">
        <is>
          <t>From collage</t>
        </is>
      </c>
      <c r="AB448" t="inlineStr">
        <is>
          <t>Single</t>
        </is>
      </c>
      <c r="AC448" s="5">
        <f>IF(ISNUMBER(V448),Q448,"")</f>
        <v/>
      </c>
      <c r="AD448">
        <f>IF(ISNUMBER(W448),R448,"")</f>
        <v/>
      </c>
    </row>
    <row r="449">
      <c r="A449" t="inlineStr">
        <is>
          <t>S-523899</t>
        </is>
      </c>
      <c r="B449" t="inlineStr">
        <is>
          <t>Steve</t>
        </is>
      </c>
      <c r="C449" s="2" t="n">
        <v>46299.49259259259</v>
      </c>
      <c r="D449">
        <f>IF(C449="","",TEXT(C449,"dddd"))</f>
        <v/>
      </c>
      <c r="E449" s="3" t="n">
        <v>46299</v>
      </c>
      <c r="F449">
        <f>IF(E449="","",TEXT(E449,"dddd"))</f>
        <v/>
      </c>
      <c r="G449" t="inlineStr">
        <is>
          <t>4:25 PM</t>
        </is>
      </c>
      <c r="H449" t="inlineStr">
        <is>
          <t>N</t>
        </is>
      </c>
      <c r="I449" t="inlineStr"/>
      <c r="J449" t="inlineStr">
        <is>
          <t>NFL</t>
        </is>
      </c>
      <c r="K449" t="inlineStr">
        <is>
          <t>NFL</t>
        </is>
      </c>
      <c r="L449" t="inlineStr">
        <is>
          <t>parlay</t>
        </is>
      </c>
      <c r="M449" t="inlineStr">
        <is>
          <t>Baltimore Ravens ML (-800); Chicago Bears ML (-200); San Francisco 49ers ML (-155)</t>
        </is>
      </c>
      <c r="N449" t="n">
        <v>3</v>
      </c>
      <c r="O449" t="inlineStr">
        <is>
          <t>-178</t>
        </is>
      </c>
      <c r="P449" s="4" t="n">
        <v>1.5618</v>
      </c>
      <c r="Q449" s="5" t="n">
        <v>200000</v>
      </c>
      <c r="R449" t="inlineStr"/>
      <c r="S449" s="5" t="n">
        <v>555241.95</v>
      </c>
      <c r="T449" t="inlineStr">
        <is>
          <t>Red Rock (sportsbook)</t>
        </is>
      </c>
      <c r="U449" t="inlineStr">
        <is>
          <t>W</t>
        </is>
      </c>
      <c r="V449" s="5">
        <f>IF(NOT(ISNUMBER(Q449)),"",IF(U449="W",IF(ISNUMBER(S449),S449-Q449,IF(ISNUMBER(P449),Q449*(P449-1),"")),IF(U449="L",-Q449,IF(U449="Push",0,""))))</f>
        <v/>
      </c>
      <c r="W449">
        <f>IF(NOT(ISNUMBER(R449)),"",IF(U449="W",IF(ISNUMBER(P449),R449*(P449-1),""),IF(U449="L",-R449,IF(U449="Push",0,""))))</f>
        <v/>
      </c>
      <c r="X449" t="inlineStr">
        <is>
          <t>graded from final</t>
        </is>
      </c>
      <c r="Y449" t="inlineStr">
        <is>
          <t>Y - tags Gamdom</t>
        </is>
      </c>
      <c r="Z449" t="inlineStr">
        <is>
          <t>https://x.com/stevewilldoit/status/2106788772524523899</t>
        </is>
      </c>
      <c r="AA449" t="inlineStr">
        <is>
          <t>Red Rock ticket to win $355,241.95</t>
        </is>
      </c>
      <c r="AB449" t="inlineStr">
        <is>
          <t>Parlay/multi-leg</t>
        </is>
      </c>
      <c r="AC449" s="5">
        <f>IF(ISNUMBER(V449),Q449,"")</f>
        <v/>
      </c>
      <c r="AD449">
        <f>IF(ISNUMBER(W449),R449,"")</f>
        <v/>
      </c>
    </row>
    <row r="450">
      <c r="A450" t="inlineStr">
        <is>
          <t>S-523899b</t>
        </is>
      </c>
      <c r="B450" t="inlineStr">
        <is>
          <t>Steve</t>
        </is>
      </c>
      <c r="C450" s="2" t="n">
        <v>46299.49259259259</v>
      </c>
      <c r="D450">
        <f>IF(C450="","",TEXT(C450,"dddd"))</f>
        <v/>
      </c>
      <c r="E450" s="3" t="n">
        <v>46299</v>
      </c>
      <c r="F450">
        <f>IF(E450="","",TEXT(E450,"dddd"))</f>
        <v/>
      </c>
      <c r="G450" t="inlineStr">
        <is>
          <t>1:00 PM</t>
        </is>
      </c>
      <c r="H450" t="inlineStr">
        <is>
          <t>N</t>
        </is>
      </c>
      <c r="I450" t="inlineStr"/>
      <c r="J450" t="inlineStr">
        <is>
          <t>NFL</t>
        </is>
      </c>
      <c r="K450" t="inlineStr">
        <is>
          <t>NFL</t>
        </is>
      </c>
      <c r="L450" t="inlineStr">
        <is>
          <t>ML</t>
        </is>
      </c>
      <c r="M450" t="inlineStr">
        <is>
          <t>Jacksonville Jaguars ML vs Bengals</t>
        </is>
      </c>
      <c r="N450" t="n">
        <v>1</v>
      </c>
      <c r="O450" t="inlineStr">
        <is>
          <t>+120</t>
        </is>
      </c>
      <c r="P450" s="4" t="n">
        <v>2.2</v>
      </c>
      <c r="Q450" s="5" t="n">
        <v>100000</v>
      </c>
      <c r="R450" t="inlineStr"/>
      <c r="S450" s="5" t="n">
        <v>220000</v>
      </c>
      <c r="T450" t="inlineStr">
        <is>
          <t>Red Rock (sportsbook)</t>
        </is>
      </c>
      <c r="U450" t="inlineStr">
        <is>
          <t>W</t>
        </is>
      </c>
      <c r="V450" s="5">
        <f>IF(NOT(ISNUMBER(Q450)),"",IF(U450="W",IF(ISNUMBER(S450),S450-Q450,IF(ISNUMBER(P450),Q450*(P450-1),"")),IF(U450="L",-Q450,IF(U450="Push",0,""))))</f>
        <v/>
      </c>
      <c r="W450">
        <f>IF(NOT(ISNUMBER(R450)),"",IF(U450="W",IF(ISNUMBER(P450),R450*(P450-1),""),IF(U450="L",-R450,IF(U450="Push",0,""))))</f>
        <v/>
      </c>
      <c r="X450" t="inlineStr">
        <is>
          <t>graded from final</t>
        </is>
      </c>
      <c r="Y450" t="inlineStr">
        <is>
          <t>Y - tags Gamdom</t>
        </is>
      </c>
      <c r="Z450" t="inlineStr">
        <is>
          <t>https://x.com/stevewilldoit/status/2106788772524523899</t>
        </is>
      </c>
      <c r="AA450" t="inlineStr">
        <is>
          <t>Red Rock ticket</t>
        </is>
      </c>
      <c r="AB450" t="inlineStr">
        <is>
          <t>Single</t>
        </is>
      </c>
      <c r="AC450" s="5">
        <f>IF(ISNUMBER(V450),Q450,"")</f>
        <v/>
      </c>
      <c r="AD450">
        <f>IF(ISNUMBER(W450),R450,"")</f>
        <v/>
      </c>
    </row>
    <row r="451">
      <c r="A451" t="inlineStr">
        <is>
          <t>S-523899c</t>
        </is>
      </c>
      <c r="B451" t="inlineStr">
        <is>
          <t>Steve</t>
        </is>
      </c>
      <c r="C451" s="2" t="n">
        <v>46299.49259259259</v>
      </c>
      <c r="D451">
        <f>IF(C451="","",TEXT(C451,"dddd"))</f>
        <v/>
      </c>
      <c r="E451" s="3" t="n">
        <v>46299</v>
      </c>
      <c r="F451">
        <f>IF(E451="","",TEXT(E451,"dddd"))</f>
        <v/>
      </c>
      <c r="G451" t="inlineStr">
        <is>
          <t>1:00 PM</t>
        </is>
      </c>
      <c r="H451" t="inlineStr">
        <is>
          <t>N</t>
        </is>
      </c>
      <c r="I451" t="inlineStr"/>
      <c r="J451" t="inlineStr">
        <is>
          <t>NFL</t>
        </is>
      </c>
      <c r="K451" t="inlineStr">
        <is>
          <t>NFL</t>
        </is>
      </c>
      <c r="L451" t="inlineStr">
        <is>
          <t>ML</t>
        </is>
      </c>
      <c r="M451" t="inlineStr">
        <is>
          <t>Arizona Cardinals ML vs Giants</t>
        </is>
      </c>
      <c r="N451" t="n">
        <v>1</v>
      </c>
      <c r="O451" t="inlineStr">
        <is>
          <t>-140</t>
        </is>
      </c>
      <c r="P451" s="4" t="n">
        <v>1.7143</v>
      </c>
      <c r="Q451" s="5" t="n">
        <v>100000</v>
      </c>
      <c r="R451" t="inlineStr"/>
      <c r="S451" s="5" t="n">
        <v>171428.55</v>
      </c>
      <c r="T451" t="inlineStr">
        <is>
          <t>Red Rock (sportsbook)</t>
        </is>
      </c>
      <c r="U451" t="inlineStr">
        <is>
          <t>L</t>
        </is>
      </c>
      <c r="V451" s="5">
        <f>IF(NOT(ISNUMBER(Q451)),"",IF(U451="W",IF(ISNUMBER(S451),S451-Q451,IF(ISNUMBER(P451),Q451*(P451-1),"")),IF(U451="L",-Q451,IF(U451="Push",0,""))))</f>
        <v/>
      </c>
      <c r="W451">
        <f>IF(NOT(ISNUMBER(R451)),"",IF(U451="W",IF(ISNUMBER(P451),R451*(P451-1),""),IF(U451="L",-R451,IF(U451="Push",0,""))))</f>
        <v/>
      </c>
      <c r="X451" t="inlineStr">
        <is>
          <t>graded from final</t>
        </is>
      </c>
      <c r="Y451" t="inlineStr">
        <is>
          <t>Y - tags Gamdom</t>
        </is>
      </c>
      <c r="Z451" t="inlineStr">
        <is>
          <t>https://x.com/stevewilldoit/status/2106788772524523899</t>
        </is>
      </c>
      <c r="AA451" t="inlineStr">
        <is>
          <t>Red Rock ticket</t>
        </is>
      </c>
      <c r="AB451" t="inlineStr">
        <is>
          <t>Single</t>
        </is>
      </c>
      <c r="AC451" s="5">
        <f>IF(ISNUMBER(V451),Q451,"")</f>
        <v/>
      </c>
      <c r="AD451">
        <f>IF(ISNUMBER(W451),R451,"")</f>
        <v/>
      </c>
    </row>
    <row r="452">
      <c r="A452" t="inlineStr">
        <is>
          <t>T-622614</t>
        </is>
      </c>
      <c r="B452" t="inlineStr">
        <is>
          <t>Trent</t>
        </is>
      </c>
      <c r="C452" s="2" t="n">
        <v>46299.49753472222</v>
      </c>
      <c r="D452">
        <f>IF(C452="","",TEXT(C452,"dddd"))</f>
        <v/>
      </c>
      <c r="E452" s="3" t="n">
        <v>46299</v>
      </c>
      <c r="F452">
        <f>IF(E452="","",TEXT(E452,"dddd"))</f>
        <v/>
      </c>
      <c r="G452" t="inlineStr">
        <is>
          <t>1:00 PM</t>
        </is>
      </c>
      <c r="H452" t="inlineStr">
        <is>
          <t>N</t>
        </is>
      </c>
      <c r="I452" t="inlineStr"/>
      <c r="J452" t="inlineStr">
        <is>
          <t>NFL</t>
        </is>
      </c>
      <c r="K452" t="inlineStr">
        <is>
          <t>NFL</t>
        </is>
      </c>
      <c r="L452" t="inlineStr">
        <is>
          <t>spread</t>
        </is>
      </c>
      <c r="M452" t="inlineStr">
        <is>
          <t>Cincinnati Bengals -2.5 vs Jaguars</t>
        </is>
      </c>
      <c r="N452" t="n">
        <v>1</v>
      </c>
      <c r="O452" t="inlineStr">
        <is>
          <t>not shown</t>
        </is>
      </c>
      <c r="P452" s="4" t="inlineStr"/>
      <c r="Q452" s="5" t="inlineStr"/>
      <c r="R452" t="inlineStr"/>
      <c r="S452" s="5" t="inlineStr"/>
      <c r="T452" t="inlineStr">
        <is>
          <t>not shown</t>
        </is>
      </c>
      <c r="U452" t="inlineStr">
        <is>
          <t>L</t>
        </is>
      </c>
      <c r="V452" s="5">
        <f>IF(NOT(ISNUMBER(Q452)),"",IF(U452="W",IF(ISNUMBER(S452),S452-Q452,IF(ISNUMBER(P452),Q452*(P452-1),"")),IF(U452="L",-Q452,IF(U452="Push",0,""))))</f>
        <v/>
      </c>
      <c r="W452">
        <f>IF(NOT(ISNUMBER(R452)),"",IF(U452="W",IF(ISNUMBER(P452),R452*(P452-1),""),IF(U452="L",-R452,IF(U452="Push",0,""))))</f>
        <v/>
      </c>
      <c r="X452" t="inlineStr">
        <is>
          <t>graded from final</t>
        </is>
      </c>
      <c r="Y452" t="inlineStr">
        <is>
          <t>N</t>
        </is>
      </c>
      <c r="Z452" t="inlineStr">
        <is>
          <t>https://x.com/BookitWithTrent/status/2106790563072622614</t>
        </is>
      </c>
      <c r="AA452" t="inlineStr">
        <is>
          <t>"My biggest bet of the day is Bengals -2.5. Large." (units not stated)</t>
        </is>
      </c>
      <c r="AB452" t="inlineStr">
        <is>
          <t>Single</t>
        </is>
      </c>
      <c r="AC452" s="5">
        <f>IF(ISNUMBER(V452),Q452,"")</f>
        <v/>
      </c>
      <c r="AD452">
        <f>IF(ISNUMBER(W452),R452,"")</f>
        <v/>
      </c>
    </row>
    <row r="453">
      <c r="A453" t="inlineStr">
        <is>
          <t>S-444918</t>
        </is>
      </c>
      <c r="B453" t="inlineStr">
        <is>
          <t>Steve</t>
        </is>
      </c>
      <c r="C453" s="2" t="n">
        <v>46299.57254629629</v>
      </c>
      <c r="D453">
        <f>IF(C453="","",TEXT(C453,"dddd"))</f>
        <v/>
      </c>
      <c r="E453" s="3" t="n">
        <v>46299</v>
      </c>
      <c r="F453">
        <f>IF(E453="","",TEXT(E453,"dddd"))</f>
        <v/>
      </c>
      <c r="G453" t="inlineStr">
        <is>
          <t>8:20 PM</t>
        </is>
      </c>
      <c r="H453" t="inlineStr">
        <is>
          <t>N</t>
        </is>
      </c>
      <c r="I453" t="inlineStr"/>
      <c r="J453" t="inlineStr">
        <is>
          <t>NFL</t>
        </is>
      </c>
      <c r="K453" t="inlineStr">
        <is>
          <t>NFL</t>
        </is>
      </c>
      <c r="L453" t="inlineStr">
        <is>
          <t>parlay</t>
        </is>
      </c>
      <c r="M453" t="inlineStr">
        <is>
          <t>Vikings ML vs Dolphins; Chiefs ML vs Raiders; Lions ML vs Panthers; 49ers ML vs Broncos; Texans ML vs Cowboys; Bears ML vs Jets; Cardinals ML vs Giants; Bills ML vs Patriots; Jaguars ML vs Bengals; Eagles ML vs Rams</t>
        </is>
      </c>
      <c r="N453" t="n">
        <v>10</v>
      </c>
      <c r="O453" t="inlineStr">
        <is>
          <t>+2523</t>
        </is>
      </c>
      <c r="P453" s="4" t="n">
        <v>26.23</v>
      </c>
      <c r="Q453" s="5" t="n">
        <v>10000</v>
      </c>
      <c r="R453" t="inlineStr"/>
      <c r="S453" s="5" t="n">
        <v>262300</v>
      </c>
      <c r="T453" t="inlineStr">
        <is>
          <t>Gamdom</t>
        </is>
      </c>
      <c r="U453" t="inlineStr">
        <is>
          <t>L</t>
        </is>
      </c>
      <c r="V453" s="5">
        <f>IF(NOT(ISNUMBER(Q453)),"",IF(U453="W",IF(ISNUMBER(S453),S453-Q453,IF(ISNUMBER(P453),Q453*(P453-1),"")),IF(U453="L",-Q453,IF(U453="Push",0,""))))</f>
        <v/>
      </c>
      <c r="W453">
        <f>IF(NOT(ISNUMBER(R453)),"",IF(U453="W",IF(ISNUMBER(P453),R453*(P453-1),""),IF(U453="L",-R453,IF(U453="Push",0,""))))</f>
        <v/>
      </c>
      <c r="X453" t="inlineStr">
        <is>
          <t>graded from final</t>
        </is>
      </c>
      <c r="Y453" t="inlineStr">
        <is>
          <t>Y - tags Gamdom</t>
        </is>
      </c>
      <c r="Z453" t="inlineStr">
        <is>
          <t>https://x.com/stevewilldoit/status/2106817745845444918</t>
        </is>
      </c>
      <c r="AA453" t="inlineStr">
        <is>
          <t>"This so gonna hit"; placed 11:43 (some legs at live odds)</t>
        </is>
      </c>
      <c r="AB453" t="inlineStr">
        <is>
          <t>Parlay/multi-leg</t>
        </is>
      </c>
      <c r="AC453" s="5">
        <f>IF(ISNUMBER(V453),Q453,"")</f>
        <v/>
      </c>
      <c r="AD453">
        <f>IF(ISNUMBER(W453),R453,"")</f>
        <v/>
      </c>
    </row>
    <row r="454">
      <c r="A454" t="inlineStr">
        <is>
          <t>T-931610</t>
        </is>
      </c>
      <c r="B454" t="inlineStr">
        <is>
          <t>Trent</t>
        </is>
      </c>
      <c r="C454" s="2" t="n">
        <v>46299.59634259259</v>
      </c>
      <c r="D454">
        <f>IF(C454="","",TEXT(C454,"dddd"))</f>
        <v/>
      </c>
      <c r="E454" s="3" t="n">
        <v>46299</v>
      </c>
      <c r="F454">
        <f>IF(E454="","",TEXT(E454,"dddd"))</f>
        <v/>
      </c>
      <c r="G454" t="inlineStr">
        <is>
          <t>not matched</t>
        </is>
      </c>
      <c r="H454" t="inlineStr">
        <is>
          <t>Unknown</t>
        </is>
      </c>
      <c r="I454" t="inlineStr">
        <is>
          <t>kickoff not matched</t>
        </is>
      </c>
      <c r="J454" t="inlineStr">
        <is>
          <t>NFL</t>
        </is>
      </c>
      <c r="K454" t="inlineStr">
        <is>
          <t>NFL</t>
        </is>
      </c>
      <c r="L454" t="inlineStr">
        <is>
          <t>spread</t>
        </is>
      </c>
      <c r="M454" t="inlineStr">
        <is>
          <t>Kansas City Chiefs -4.5 vs Raiders</t>
        </is>
      </c>
      <c r="N454" t="n">
        <v>1</v>
      </c>
      <c r="O454" t="inlineStr">
        <is>
          <t>-104</t>
        </is>
      </c>
      <c r="P454" s="4" t="n">
        <v>1.9615</v>
      </c>
      <c r="Q454" s="5" t="n">
        <v>1275</v>
      </c>
      <c r="R454" t="n">
        <v>3</v>
      </c>
      <c r="S454" s="5" t="n">
        <v>2500</v>
      </c>
      <c r="T454" t="inlineStr">
        <is>
          <t>PrizePicks</t>
        </is>
      </c>
      <c r="U454" t="inlineStr">
        <is>
          <t>L</t>
        </is>
      </c>
      <c r="V454" s="5">
        <f>IF(NOT(ISNUMBER(Q454)),"",IF(U454="W",IF(ISNUMBER(S454),S454-Q454,IF(ISNUMBER(P454),Q454*(P454-1),"")),IF(U454="L",-Q454,IF(U454="Push",0,""))))</f>
        <v/>
      </c>
      <c r="W454">
        <f>IF(NOT(ISNUMBER(R454)),"",IF(U454="W",IF(ISNUMBER(P454),R454*(P454-1),""),IF(U454="L",-R454,IF(U454="Push",0,""))))</f>
        <v/>
      </c>
      <c r="X454" t="inlineStr">
        <is>
          <t>posted</t>
        </is>
      </c>
      <c r="Y454" t="inlineStr">
        <is>
          <t>N</t>
        </is>
      </c>
      <c r="Z454" t="inlineStr">
        <is>
          <t>https://x.com/BookitWithTrent/status/2106826372911931610</t>
        </is>
      </c>
      <c r="AA454" t="inlineStr">
        <is>
          <t>"4pm Mortal Mega Max" 3u; "i'm so fuckin done man"</t>
        </is>
      </c>
      <c r="AB454" t="inlineStr">
        <is>
          <t>Single</t>
        </is>
      </c>
      <c r="AC454" s="5">
        <f>IF(ISNUMBER(V454),Q454,"")</f>
        <v/>
      </c>
      <c r="AD454">
        <f>IF(ISNUMBER(W454),R454,"")</f>
        <v/>
      </c>
    </row>
    <row r="455">
      <c r="A455" t="inlineStr">
        <is>
          <t>S-488549</t>
        </is>
      </c>
      <c r="B455" t="inlineStr">
        <is>
          <t>Steve</t>
        </is>
      </c>
      <c r="C455" s="2" t="n">
        <v>46299.64190972222</v>
      </c>
      <c r="D455">
        <f>IF(C455="","",TEXT(C455,"dddd"))</f>
        <v/>
      </c>
      <c r="E455" s="3" t="n">
        <v>46299</v>
      </c>
      <c r="F455">
        <f>IF(E455="","",TEXT(E455,"dddd"))</f>
        <v/>
      </c>
      <c r="G455" t="inlineStr">
        <is>
          <t>8:20 PM</t>
        </is>
      </c>
      <c r="H455" t="inlineStr">
        <is>
          <t>N</t>
        </is>
      </c>
      <c r="I455" t="inlineStr"/>
      <c r="J455" t="inlineStr">
        <is>
          <t>NFL</t>
        </is>
      </c>
      <c r="K455" t="inlineStr">
        <is>
          <t>NFL</t>
        </is>
      </c>
      <c r="L455" t="inlineStr">
        <is>
          <t>parlay</t>
        </is>
      </c>
      <c r="M455" t="inlineStr">
        <is>
          <t>Detroit Lions ML vs Panthers; San Francisco 49ers ML vs Broncos; Kansas City Chiefs ML vs Raiders</t>
        </is>
      </c>
      <c r="N455" t="n">
        <v>3</v>
      </c>
      <c r="O455" t="inlineStr">
        <is>
          <t>+250</t>
        </is>
      </c>
      <c r="P455" s="4" t="n">
        <v>3.5</v>
      </c>
      <c r="Q455" s="5" t="n">
        <v>100000</v>
      </c>
      <c r="R455" t="inlineStr"/>
      <c r="S455" s="5" t="n">
        <v>350000</v>
      </c>
      <c r="T455" t="inlineStr">
        <is>
          <t>Gamdom</t>
        </is>
      </c>
      <c r="U455" t="inlineStr">
        <is>
          <t>L</t>
        </is>
      </c>
      <c r="V455" s="5">
        <f>IF(NOT(ISNUMBER(Q455)),"",IF(U455="W",IF(ISNUMBER(S455),S455-Q455,IF(ISNUMBER(P455),Q455*(P455-1),"")),IF(U455="L",-Q455,IF(U455="Push",0,""))))</f>
        <v/>
      </c>
      <c r="W455">
        <f>IF(NOT(ISNUMBER(R455)),"",IF(U455="W",IF(ISNUMBER(P455),R455*(P455-1),""),IF(U455="L",-R455,IF(U455="Push",0,""))))</f>
        <v/>
      </c>
      <c r="X455" t="inlineStr">
        <is>
          <t>graded from final</t>
        </is>
      </c>
      <c r="Y455" t="inlineStr">
        <is>
          <t>N</t>
        </is>
      </c>
      <c r="Z455" t="inlineStr">
        <is>
          <t>https://x.com/stevewilldoit/status/2106842885773488549</t>
        </is>
      </c>
      <c r="AA455" t="inlineStr">
        <is>
          <t>Placed 13:17 ("pivot into a BIGGER win")</t>
        </is>
      </c>
      <c r="AB455" t="inlineStr">
        <is>
          <t>Parlay/multi-leg</t>
        </is>
      </c>
      <c r="AC455" s="5">
        <f>IF(ISNUMBER(V455),Q455,"")</f>
        <v/>
      </c>
      <c r="AD455">
        <f>IF(ISNUMBER(W455),R455,"")</f>
        <v/>
      </c>
    </row>
    <row r="456">
      <c r="A456" t="inlineStr">
        <is>
          <t>S-488549b</t>
        </is>
      </c>
      <c r="B456" t="inlineStr">
        <is>
          <t>Steve</t>
        </is>
      </c>
      <c r="C456" s="2" t="n">
        <v>46299.64190972222</v>
      </c>
      <c r="D456">
        <f>IF(C456="","",TEXT(C456,"dddd"))</f>
        <v/>
      </c>
      <c r="E456" s="3" t="n">
        <v>46299</v>
      </c>
      <c r="F456">
        <f>IF(E456="","",TEXT(E456,"dddd"))</f>
        <v/>
      </c>
      <c r="G456" t="inlineStr">
        <is>
          <t>4:25 PM</t>
        </is>
      </c>
      <c r="H456" t="inlineStr">
        <is>
          <t>N</t>
        </is>
      </c>
      <c r="I456" t="inlineStr"/>
      <c r="J456" t="inlineStr">
        <is>
          <t>NFL</t>
        </is>
      </c>
      <c r="K456" t="inlineStr">
        <is>
          <t>NFL</t>
        </is>
      </c>
      <c r="L456" t="inlineStr">
        <is>
          <t>parlay</t>
        </is>
      </c>
      <c r="M456" t="inlineStr">
        <is>
          <t>San Francisco 49ers ML vs Broncos; Kansas City Chiefs ML vs Raiders</t>
        </is>
      </c>
      <c r="N456" t="n">
        <v>2</v>
      </c>
      <c r="O456" t="inlineStr">
        <is>
          <t>+135</t>
        </is>
      </c>
      <c r="P456" s="4" t="n">
        <v>2.35</v>
      </c>
      <c r="Q456" s="5" t="n">
        <v>122000</v>
      </c>
      <c r="R456" t="inlineStr"/>
      <c r="S456" s="5" t="n">
        <v>286700</v>
      </c>
      <c r="T456" t="inlineStr">
        <is>
          <t>Gamdom</t>
        </is>
      </c>
      <c r="U456" t="inlineStr">
        <is>
          <t>W</t>
        </is>
      </c>
      <c r="V456" s="5">
        <f>IF(NOT(ISNUMBER(Q456)),"",IF(U456="W",IF(ISNUMBER(S456),S456-Q456,IF(ISNUMBER(P456),Q456*(P456-1),"")),IF(U456="L",-Q456,IF(U456="Push",0,""))))</f>
        <v/>
      </c>
      <c r="W456">
        <f>IF(NOT(ISNUMBER(R456)),"",IF(U456="W",IF(ISNUMBER(P456),R456*(P456-1),""),IF(U456="L",-R456,IF(U456="Push",0,""))))</f>
        <v/>
      </c>
      <c r="X456" t="inlineStr">
        <is>
          <t>graded from final</t>
        </is>
      </c>
      <c r="Y456" t="inlineStr">
        <is>
          <t>N</t>
        </is>
      </c>
      <c r="Z456" t="inlineStr">
        <is>
          <t>https://x.com/stevewilldoit/status/2106842885773488549</t>
        </is>
      </c>
      <c r="AA456" t="inlineStr"/>
      <c r="AB456" t="inlineStr">
        <is>
          <t>Parlay/multi-leg</t>
        </is>
      </c>
      <c r="AC456" s="5">
        <f>IF(ISNUMBER(V456),Q456,"")</f>
        <v/>
      </c>
      <c r="AD456">
        <f>IF(ISNUMBER(W456),R456,"")</f>
        <v/>
      </c>
    </row>
    <row r="457">
      <c r="A457" t="inlineStr">
        <is>
          <t>T-780169</t>
        </is>
      </c>
      <c r="B457" t="inlineStr">
        <is>
          <t>Trent</t>
        </is>
      </c>
      <c r="C457" s="2" t="n">
        <v>46299.75054398148</v>
      </c>
      <c r="D457">
        <f>IF(C457="","",TEXT(C457,"dddd"))</f>
        <v/>
      </c>
      <c r="E457" s="3" t="n">
        <v>46299</v>
      </c>
      <c r="F457">
        <f>IF(E457="","",TEXT(E457,"dddd"))</f>
        <v/>
      </c>
      <c r="G457" t="inlineStr">
        <is>
          <t>not matched</t>
        </is>
      </c>
      <c r="H457" t="inlineStr">
        <is>
          <t>Y</t>
        </is>
      </c>
      <c r="I457" t="inlineStr">
        <is>
          <t>SNF</t>
        </is>
      </c>
      <c r="J457" t="inlineStr">
        <is>
          <t>NFL</t>
        </is>
      </c>
      <c r="K457" t="inlineStr">
        <is>
          <t>NFL</t>
        </is>
      </c>
      <c r="L457" t="inlineStr">
        <is>
          <t>spread</t>
        </is>
      </c>
      <c r="M457" t="inlineStr">
        <is>
          <t>Detroit Lions -4.5 vs Panthers (SNF)</t>
        </is>
      </c>
      <c r="N457" t="n">
        <v>1</v>
      </c>
      <c r="O457" t="inlineStr">
        <is>
          <t>not shown</t>
        </is>
      </c>
      <c r="P457" s="4" t="inlineStr"/>
      <c r="Q457" s="5" t="inlineStr"/>
      <c r="R457" t="n">
        <v>4</v>
      </c>
      <c r="S457" s="5" t="inlineStr"/>
      <c r="T457" t="inlineStr">
        <is>
          <t>not shown</t>
        </is>
      </c>
      <c r="U457" t="inlineStr">
        <is>
          <t>L</t>
        </is>
      </c>
      <c r="V457" s="5">
        <f>IF(NOT(ISNUMBER(Q457)),"",IF(U457="W",IF(ISNUMBER(S457),S457-Q457,IF(ISNUMBER(P457),Q457*(P457-1),"")),IF(U457="L",-Q457,IF(U457="Push",0,""))))</f>
        <v/>
      </c>
      <c r="W457">
        <f>IF(NOT(ISNUMBER(R457)),"",IF(U457="W",IF(ISNUMBER(P457),R457*(P457-1),""),IF(U457="L",-R457,IF(U457="Push",0,""))))</f>
        <v/>
      </c>
      <c r="X457" t="inlineStr">
        <is>
          <t>posted</t>
        </is>
      </c>
      <c r="Y457" t="inlineStr">
        <is>
          <t>N</t>
        </is>
      </c>
      <c r="Z457" t="inlineStr">
        <is>
          <t>https://x.com/BookitWithTrent/status/2106882250977780169</t>
        </is>
      </c>
      <c r="AA457" t="inlineStr">
        <is>
          <t>"SNF MORTAL MEGA MAX" 4u; PrimeTime recap 259465 shows ❌</t>
        </is>
      </c>
      <c r="AB457" t="inlineStr">
        <is>
          <t>Single</t>
        </is>
      </c>
      <c r="AC457" s="5">
        <f>IF(ISNUMBER(V457),Q457,"")</f>
        <v/>
      </c>
      <c r="AD457">
        <f>IF(ISNUMBER(W457),R457,"")</f>
        <v/>
      </c>
    </row>
    <row r="458">
      <c r="A458" t="inlineStr">
        <is>
          <t>T-298839</t>
        </is>
      </c>
      <c r="B458" t="inlineStr">
        <is>
          <t>Trent</t>
        </is>
      </c>
      <c r="C458" s="2" t="n">
        <v>46299.75472222222</v>
      </c>
      <c r="D458">
        <f>IF(C458="","",TEXT(C458,"dddd"))</f>
        <v/>
      </c>
      <c r="E458" s="3" t="n">
        <v>46299</v>
      </c>
      <c r="F458">
        <f>IF(E458="","",TEXT(E458,"dddd"))</f>
        <v/>
      </c>
      <c r="G458" t="inlineStr">
        <is>
          <t>not matched</t>
        </is>
      </c>
      <c r="H458" t="inlineStr">
        <is>
          <t>Y</t>
        </is>
      </c>
      <c r="I458" t="inlineStr">
        <is>
          <t>SNF</t>
        </is>
      </c>
      <c r="J458" t="inlineStr">
        <is>
          <t>NFL</t>
        </is>
      </c>
      <c r="K458" t="inlineStr">
        <is>
          <t>NFL</t>
        </is>
      </c>
      <c r="L458" t="inlineStr">
        <is>
          <t>first TD</t>
        </is>
      </c>
      <c r="M458" t="inlineStr">
        <is>
          <t>Amon-Ra St. Brown first TD scorer (SNF)</t>
        </is>
      </c>
      <c r="N458" t="n">
        <v>1</v>
      </c>
      <c r="O458" t="inlineStr">
        <is>
          <t>+750</t>
        </is>
      </c>
      <c r="P458" s="4" t="n">
        <v>8.5</v>
      </c>
      <c r="Q458" s="5" t="inlineStr"/>
      <c r="R458" t="inlineStr"/>
      <c r="S458" s="5" t="inlineStr"/>
      <c r="T458" t="inlineStr">
        <is>
          <t>not shown</t>
        </is>
      </c>
      <c r="U458" t="inlineStr">
        <is>
          <t>L</t>
        </is>
      </c>
      <c r="V458" s="5">
        <f>IF(NOT(ISNUMBER(Q458)),"",IF(U458="W",IF(ISNUMBER(S458),S458-Q458,IF(ISNUMBER(P458),Q458*(P458-1),"")),IF(U458="L",-Q458,IF(U458="Push",0,""))))</f>
        <v/>
      </c>
      <c r="W458">
        <f>IF(NOT(ISNUMBER(R458)),"",IF(U458="W",IF(ISNUMBER(P458),R458*(P458-1),""),IF(U458="L",-R458,IF(U458="Push",0,""))))</f>
        <v/>
      </c>
      <c r="X458" t="inlineStr">
        <is>
          <t>posted</t>
        </is>
      </c>
      <c r="Y458" t="inlineStr">
        <is>
          <t>N</t>
        </is>
      </c>
      <c r="Z458" t="inlineStr">
        <is>
          <t>https://x.com/BookitWithTrent/status/2106883766266298839</t>
        </is>
      </c>
      <c r="AA458" t="inlineStr">
        <is>
          <t>"Congrats Chuba -400 bettors"; next first-TD post shows record 1-12</t>
        </is>
      </c>
      <c r="AB458" t="inlineStr">
        <is>
          <t>Single</t>
        </is>
      </c>
      <c r="AC458" s="5">
        <f>IF(ISNUMBER(V458),Q458,"")</f>
        <v/>
      </c>
      <c r="AD458">
        <f>IF(ISNUMBER(W458),R458,"")</f>
        <v/>
      </c>
    </row>
    <row r="459">
      <c r="A459" t="inlineStr">
        <is>
          <t>S-148659</t>
        </is>
      </c>
      <c r="B459" t="inlineStr">
        <is>
          <t>Steve</t>
        </is>
      </c>
      <c r="C459" s="2" t="n">
        <v>46299.7691550926</v>
      </c>
      <c r="D459">
        <f>IF(C459="","",TEXT(C459,"dddd"))</f>
        <v/>
      </c>
      <c r="E459" s="3" t="n">
        <v>46299</v>
      </c>
      <c r="F459">
        <f>IF(E459="","",TEXT(E459,"dddd"))</f>
        <v/>
      </c>
      <c r="G459" t="inlineStr">
        <is>
          <t>1:00 PM</t>
        </is>
      </c>
      <c r="H459" t="inlineStr">
        <is>
          <t>N</t>
        </is>
      </c>
      <c r="I459" t="inlineStr"/>
      <c r="J459" t="inlineStr">
        <is>
          <t>NFL</t>
        </is>
      </c>
      <c r="K459" t="inlineStr">
        <is>
          <t>NFL</t>
        </is>
      </c>
      <c r="L459" t="inlineStr">
        <is>
          <t>parlay</t>
        </is>
      </c>
      <c r="M459" t="inlineStr">
        <is>
          <t>Tampa Bay Bucs ML (+145); Philadelphia Eagles ML (+160)</t>
        </is>
      </c>
      <c r="N459" t="n">
        <v>2</v>
      </c>
      <c r="O459" t="inlineStr">
        <is>
          <t>+537</t>
        </is>
      </c>
      <c r="P459" s="4" t="n">
        <v>6.37</v>
      </c>
      <c r="Q459" s="5" t="n">
        <v>23140.5</v>
      </c>
      <c r="R459" t="inlineStr"/>
      <c r="S459" s="5" t="n">
        <v>147405</v>
      </c>
      <c r="T459" t="inlineStr">
        <is>
          <t>Red Rock (sportsbook)</t>
        </is>
      </c>
      <c r="U459" t="inlineStr">
        <is>
          <t>L</t>
        </is>
      </c>
      <c r="V459" s="5">
        <f>IF(NOT(ISNUMBER(Q459)),"",IF(U459="W",IF(ISNUMBER(S459),S459-Q459,IF(ISNUMBER(P459),Q459*(P459-1),"")),IF(U459="L",-Q459,IF(U459="Push",0,""))))</f>
        <v/>
      </c>
      <c r="W459">
        <f>IF(NOT(ISNUMBER(R459)),"",IF(U459="W",IF(ISNUMBER(P459),R459*(P459-1),""),IF(U459="L",-R459,IF(U459="Push",0,""))))</f>
        <v/>
      </c>
      <c r="X459" t="inlineStr">
        <is>
          <t>graded from final</t>
        </is>
      </c>
      <c r="Y459" t="inlineStr">
        <is>
          <t>N</t>
        </is>
      </c>
      <c r="Z459" t="inlineStr">
        <is>
          <t>https://x.com/stevewilldoit/status/2106888998107148659</t>
        </is>
      </c>
      <c r="AA459" t="inlineStr">
        <is>
          <t>"MY big losers today"; Red Rock ticket</t>
        </is>
      </c>
      <c r="AB459" t="inlineStr">
        <is>
          <t>Parlay/multi-leg</t>
        </is>
      </c>
      <c r="AC459" s="5">
        <f>IF(ISNUMBER(V459),Q459,"")</f>
        <v/>
      </c>
      <c r="AD459">
        <f>IF(ISNUMBER(W459),R459,"")</f>
        <v/>
      </c>
    </row>
    <row r="460">
      <c r="A460" t="inlineStr">
        <is>
          <t>S-237942</t>
        </is>
      </c>
      <c r="B460" t="inlineStr">
        <is>
          <t>Steve</t>
        </is>
      </c>
      <c r="C460" s="2" t="n">
        <v>46299.80321759259</v>
      </c>
      <c r="D460">
        <f>IF(C460="","",TEXT(C460,"dddd"))</f>
        <v/>
      </c>
      <c r="E460" s="3" t="n">
        <v>46299</v>
      </c>
      <c r="F460">
        <f>IF(E460="","",TEXT(E460,"dddd"))</f>
        <v/>
      </c>
      <c r="G460" t="inlineStr">
        <is>
          <t>not matched</t>
        </is>
      </c>
      <c r="H460" t="inlineStr">
        <is>
          <t>Y</t>
        </is>
      </c>
      <c r="I460" t="inlineStr">
        <is>
          <t>SNF</t>
        </is>
      </c>
      <c r="J460" t="inlineStr">
        <is>
          <t>NFL</t>
        </is>
      </c>
      <c r="K460" t="inlineStr">
        <is>
          <t>NFL</t>
        </is>
      </c>
      <c r="L460" t="inlineStr">
        <is>
          <t>ML</t>
        </is>
      </c>
      <c r="M460" t="inlineStr">
        <is>
          <t>Detroit Lions ML vs Carolina Panthers (SNF)</t>
        </is>
      </c>
      <c r="N460" t="n">
        <v>1</v>
      </c>
      <c r="O460" t="inlineStr">
        <is>
          <t>-245</t>
        </is>
      </c>
      <c r="P460" s="4" t="n">
        <v>1.4082</v>
      </c>
      <c r="Q460" s="5" t="n">
        <v>500000</v>
      </c>
      <c r="R460" t="inlineStr"/>
      <c r="S460" s="5" t="n">
        <v>704081.65</v>
      </c>
      <c r="T460" t="inlineStr">
        <is>
          <t>Red Rock (sportsbook)</t>
        </is>
      </c>
      <c r="U460" t="inlineStr">
        <is>
          <t>L</t>
        </is>
      </c>
      <c r="V460" s="5">
        <f>IF(NOT(ISNUMBER(Q460)),"",IF(U460="W",IF(ISNUMBER(S460),S460-Q460,IF(ISNUMBER(P460),Q460*(P460-1),"")),IF(U460="L",-Q460,IF(U460="Push",0,""))))</f>
        <v/>
      </c>
      <c r="W460">
        <f>IF(NOT(ISNUMBER(R460)),"",IF(U460="W",IF(ISNUMBER(P460),R460*(P460-1),""),IF(U460="L",-R460,IF(U460="Push",0,""))))</f>
        <v/>
      </c>
      <c r="X460" t="inlineStr">
        <is>
          <t>posted</t>
        </is>
      </c>
      <c r="Y460" t="inlineStr">
        <is>
          <t>Y - tags Gamdom</t>
        </is>
      </c>
      <c r="Z460" t="inlineStr">
        <is>
          <t>https://x.com/stevewilldoit/status/2106901338332237942</t>
        </is>
      </c>
      <c r="AA460" t="inlineStr">
        <is>
          <t>"Added $600,000 on LIONS ML"; "I lost to the Lions"</t>
        </is>
      </c>
      <c r="AB460" t="inlineStr">
        <is>
          <t>Single</t>
        </is>
      </c>
      <c r="AC460" s="5">
        <f>IF(ISNUMBER(V460),Q460,"")</f>
        <v/>
      </c>
      <c r="AD460">
        <f>IF(ISNUMBER(W460),R460,"")</f>
        <v/>
      </c>
    </row>
    <row r="461">
      <c r="A461" t="inlineStr">
        <is>
          <t>S-237942b</t>
        </is>
      </c>
      <c r="B461" t="inlineStr">
        <is>
          <t>Steve</t>
        </is>
      </c>
      <c r="C461" s="2" t="n">
        <v>46299.80321759259</v>
      </c>
      <c r="D461">
        <f>IF(C461="","",TEXT(C461,"dddd"))</f>
        <v/>
      </c>
      <c r="E461" s="3" t="n">
        <v>46299</v>
      </c>
      <c r="F461">
        <f>IF(E461="","",TEXT(E461,"dddd"))</f>
        <v/>
      </c>
      <c r="G461" t="inlineStr">
        <is>
          <t>not matched</t>
        </is>
      </c>
      <c r="H461" t="inlineStr">
        <is>
          <t>Y</t>
        </is>
      </c>
      <c r="I461" t="inlineStr">
        <is>
          <t>SNF</t>
        </is>
      </c>
      <c r="J461" t="inlineStr">
        <is>
          <t>NFL</t>
        </is>
      </c>
      <c r="K461" t="inlineStr">
        <is>
          <t>NFL</t>
        </is>
      </c>
      <c r="L461" t="inlineStr">
        <is>
          <t>ML</t>
        </is>
      </c>
      <c r="M461" t="inlineStr">
        <is>
          <t>Detroit Lions ML vs Carolina Panthers (SNF, added)</t>
        </is>
      </c>
      <c r="N461" t="n">
        <v>1</v>
      </c>
      <c r="O461" t="inlineStr">
        <is>
          <t>-204</t>
        </is>
      </c>
      <c r="P461" s="4" t="n">
        <v>1.4902</v>
      </c>
      <c r="Q461" s="5" t="n">
        <v>100000</v>
      </c>
      <c r="R461" t="inlineStr"/>
      <c r="S461" s="5" t="n">
        <v>149000</v>
      </c>
      <c r="T461" t="inlineStr">
        <is>
          <t>Gamdom</t>
        </is>
      </c>
      <c r="U461" t="inlineStr">
        <is>
          <t>L</t>
        </is>
      </c>
      <c r="V461" s="5">
        <f>IF(NOT(ISNUMBER(Q461)),"",IF(U461="W",IF(ISNUMBER(S461),S461-Q461,IF(ISNUMBER(P461),Q461*(P461-1),"")),IF(U461="L",-Q461,IF(U461="Push",0,""))))</f>
        <v/>
      </c>
      <c r="W461">
        <f>IF(NOT(ISNUMBER(R461)),"",IF(U461="W",IF(ISNUMBER(P461),R461*(P461-1),""),IF(U461="L",-R461,IF(U461="Push",0,""))))</f>
        <v/>
      </c>
      <c r="X461" t="inlineStr">
        <is>
          <t>posted</t>
        </is>
      </c>
      <c r="Y461" t="inlineStr">
        <is>
          <t>Y - tags Gamdom</t>
        </is>
      </c>
      <c r="Z461" t="inlineStr">
        <is>
          <t>https://x.com/stevewilldoit/status/2106901338332237942</t>
        </is>
      </c>
      <c r="AA461" t="inlineStr">
        <is>
          <t>Placed 17:11; "I lost to the Lions"</t>
        </is>
      </c>
      <c r="AB461" t="inlineStr">
        <is>
          <t>Single</t>
        </is>
      </c>
      <c r="AC461" s="5">
        <f>IF(ISNUMBER(V461),Q461,"")</f>
        <v/>
      </c>
      <c r="AD461">
        <f>IF(ISNUMBER(W461),R461,"")</f>
        <v/>
      </c>
    </row>
    <row r="462">
      <c r="A462" t="inlineStr">
        <is>
          <t>S-600914</t>
        </is>
      </c>
      <c r="B462" t="inlineStr">
        <is>
          <t>Steve</t>
        </is>
      </c>
      <c r="C462" s="2" t="n">
        <v>46300.39253472222</v>
      </c>
      <c r="D462">
        <f>IF(C462="","",TEXT(C462,"dddd"))</f>
        <v/>
      </c>
      <c r="E462" s="3" t="n">
        <v>46300</v>
      </c>
      <c r="F462">
        <f>IF(E462="","",TEXT(E462,"dddd"))</f>
        <v/>
      </c>
      <c r="G462" t="inlineStr">
        <is>
          <t>8:15 PM</t>
        </is>
      </c>
      <c r="H462" t="inlineStr">
        <is>
          <t>N</t>
        </is>
      </c>
      <c r="I462" t="inlineStr"/>
      <c r="J462" t="inlineStr">
        <is>
          <t>Other</t>
        </is>
      </c>
      <c r="K462" t="inlineStr">
        <is>
          <t>NFL + MLB</t>
        </is>
      </c>
      <c r="L462" t="inlineStr">
        <is>
          <t>parlay</t>
        </is>
      </c>
      <c r="M462" t="inlineStr">
        <is>
          <t>Atlanta Falcons ML vs Saints; Chicago White Sox +1.0 vs Guardians; New York Yankees ML vs Rays</t>
        </is>
      </c>
      <c r="N462" t="n">
        <v>3</v>
      </c>
      <c r="O462" t="inlineStr">
        <is>
          <t>+519</t>
        </is>
      </c>
      <c r="P462" s="4" t="n">
        <v>6.19</v>
      </c>
      <c r="Q462" s="5" t="n">
        <v>26954</v>
      </c>
      <c r="R462" t="inlineStr"/>
      <c r="S462" s="5" t="n">
        <v>166845.26</v>
      </c>
      <c r="T462" t="inlineStr">
        <is>
          <t>Gamdom</t>
        </is>
      </c>
      <c r="U462" t="inlineStr">
        <is>
          <t>L</t>
        </is>
      </c>
      <c r="V462" s="5">
        <f>IF(NOT(ISNUMBER(Q462)),"",IF(U462="W",IF(ISNUMBER(S462),S462-Q462,IF(ISNUMBER(P462),Q462*(P462-1),"")),IF(U462="L",-Q462,IF(U462="Push",0,""))))</f>
        <v/>
      </c>
      <c r="W462">
        <f>IF(NOT(ISNUMBER(R462)),"",IF(U462="W",IF(ISNUMBER(P462),R462*(P462-1),""),IF(U462="L",-R462,IF(U462="Push",0,""))))</f>
        <v/>
      </c>
      <c r="X462" t="inlineStr">
        <is>
          <t>graded from final</t>
        </is>
      </c>
      <c r="Y462" t="inlineStr">
        <is>
          <t>Y - tags Gamdom</t>
        </is>
      </c>
      <c r="Z462" t="inlineStr">
        <is>
          <t>https://x.com/stevewilldoit/status/2107114903320600914</t>
        </is>
      </c>
      <c r="AA462" t="inlineStr">
        <is>
          <t>Danny/6ix9ine "White Sox Falcons Yankees"</t>
        </is>
      </c>
      <c r="AB462" t="inlineStr">
        <is>
          <t>Parlay/multi-leg</t>
        </is>
      </c>
      <c r="AC462" s="5">
        <f>IF(ISNUMBER(V462),Q462,"")</f>
        <v/>
      </c>
      <c r="AD462">
        <f>IF(ISNUMBER(W462),R462,"")</f>
        <v/>
      </c>
    </row>
    <row r="463">
      <c r="A463" t="inlineStr">
        <is>
          <t>S-485393</t>
        </is>
      </c>
      <c r="B463" t="inlineStr">
        <is>
          <t>Steve</t>
        </is>
      </c>
      <c r="C463" s="2" t="n">
        <v>46300.41140046297</v>
      </c>
      <c r="D463">
        <f>IF(C463="","",TEXT(C463,"dddd"))</f>
        <v/>
      </c>
      <c r="E463" s="3" t="n">
        <v>46300</v>
      </c>
      <c r="F463">
        <f>IF(E463="","",TEXT(E463,"dddd"))</f>
        <v/>
      </c>
      <c r="G463" t="inlineStr">
        <is>
          <t>8:15 PM</t>
        </is>
      </c>
      <c r="H463" t="inlineStr">
        <is>
          <t>N</t>
        </is>
      </c>
      <c r="I463" t="inlineStr"/>
      <c r="J463" t="inlineStr">
        <is>
          <t>Other</t>
        </is>
      </c>
      <c r="K463" t="inlineStr">
        <is>
          <t>NFL + MLB</t>
        </is>
      </c>
      <c r="L463" t="inlineStr">
        <is>
          <t>parlay</t>
        </is>
      </c>
      <c r="M463" t="inlineStr">
        <is>
          <t>Atlanta Falcons +1.5 vs Saints; New York Yankees ML vs Rays</t>
        </is>
      </c>
      <c r="N463" t="n">
        <v>2</v>
      </c>
      <c r="O463" t="inlineStr">
        <is>
          <t>+234</t>
        </is>
      </c>
      <c r="P463" s="4" t="n">
        <v>3.34</v>
      </c>
      <c r="Q463" s="5" t="n">
        <v>275000</v>
      </c>
      <c r="R463" t="inlineStr"/>
      <c r="S463" s="5" t="n">
        <v>918500</v>
      </c>
      <c r="T463" t="inlineStr">
        <is>
          <t>Gamdom</t>
        </is>
      </c>
      <c r="U463" t="inlineStr">
        <is>
          <t>L</t>
        </is>
      </c>
      <c r="V463" s="5">
        <f>IF(NOT(ISNUMBER(Q463)),"",IF(U463="W",IF(ISNUMBER(S463),S463-Q463,IF(ISNUMBER(P463),Q463*(P463-1),"")),IF(U463="L",-Q463,IF(U463="Push",0,""))))</f>
        <v/>
      </c>
      <c r="W463">
        <f>IF(NOT(ISNUMBER(R463)),"",IF(U463="W",IF(ISNUMBER(P463),R463*(P463-1),""),IF(U463="L",-R463,IF(U463="Push",0,""))))</f>
        <v/>
      </c>
      <c r="X463" t="inlineStr">
        <is>
          <t>graded from final</t>
        </is>
      </c>
      <c r="Y463" t="inlineStr">
        <is>
          <t>Y - tags Gamdom</t>
        </is>
      </c>
      <c r="Z463" t="inlineStr">
        <is>
          <t>https://x.com/stevewilldoit/status/2107121736395485393</t>
        </is>
      </c>
      <c r="AA463" t="inlineStr">
        <is>
          <t>"this our get back"; reposted in 703739</t>
        </is>
      </c>
      <c r="AB463" t="inlineStr">
        <is>
          <t>Parlay/multi-leg</t>
        </is>
      </c>
      <c r="AC463" s="5">
        <f>IF(ISNUMBER(V463),Q463,"")</f>
        <v/>
      </c>
      <c r="AD463">
        <f>IF(ISNUMBER(W463),R463,"")</f>
        <v/>
      </c>
    </row>
    <row r="464">
      <c r="A464" t="inlineStr">
        <is>
          <t>S-831039</t>
        </is>
      </c>
      <c r="B464" t="inlineStr">
        <is>
          <t>Steve</t>
        </is>
      </c>
      <c r="C464" s="2" t="n">
        <v>46300.41305555555</v>
      </c>
      <c r="D464">
        <f>IF(C464="","",TEXT(C464,"dddd"))</f>
        <v/>
      </c>
      <c r="E464" s="3" t="n">
        <v>46300</v>
      </c>
      <c r="F464">
        <f>IF(E464="","",TEXT(E464,"dddd"))</f>
        <v/>
      </c>
      <c r="G464" t="inlineStr">
        <is>
          <t>5:00 PM</t>
        </is>
      </c>
      <c r="H464" t="inlineStr">
        <is>
          <t>N</t>
        </is>
      </c>
      <c r="I464" t="inlineStr"/>
      <c r="J464" t="inlineStr">
        <is>
          <t>MLB</t>
        </is>
      </c>
      <c r="K464" t="inlineStr">
        <is>
          <t>MLB</t>
        </is>
      </c>
      <c r="L464" t="inlineStr">
        <is>
          <t>spread</t>
        </is>
      </c>
      <c r="M464" t="inlineStr">
        <is>
          <t>Chicago White Sox +1.0 vs Cleveland Guardians</t>
        </is>
      </c>
      <c r="N464" t="n">
        <v>1</v>
      </c>
      <c r="O464" t="inlineStr">
        <is>
          <t>-125</t>
        </is>
      </c>
      <c r="P464" s="4" t="n">
        <v>1.8</v>
      </c>
      <c r="Q464" s="5" t="n">
        <v>75000</v>
      </c>
      <c r="R464" t="inlineStr"/>
      <c r="S464" s="5" t="n">
        <v>135000</v>
      </c>
      <c r="T464" t="inlineStr">
        <is>
          <t>Gamdom</t>
        </is>
      </c>
      <c r="U464" t="inlineStr">
        <is>
          <t>W</t>
        </is>
      </c>
      <c r="V464" s="5">
        <f>IF(NOT(ISNUMBER(Q464)),"",IF(U464="W",IF(ISNUMBER(S464),S464-Q464,IF(ISNUMBER(P464),Q464*(P464-1),"")),IF(U464="L",-Q464,IF(U464="Push",0,""))))</f>
        <v/>
      </c>
      <c r="W464">
        <f>IF(NOT(ISNUMBER(R464)),"",IF(U464="W",IF(ISNUMBER(P464),R464*(P464-1),""),IF(U464="L",-R464,IF(U464="Push",0,""))))</f>
        <v/>
      </c>
      <c r="X464" t="inlineStr">
        <is>
          <t>graded from final</t>
        </is>
      </c>
      <c r="Y464" t="inlineStr">
        <is>
          <t>N</t>
        </is>
      </c>
      <c r="Z464" t="inlineStr">
        <is>
          <t>https://x.com/stevewilldoit/status/2107122336805831039</t>
        </is>
      </c>
      <c r="AA464" t="inlineStr">
        <is>
          <t>"And whitesox +1"</t>
        </is>
      </c>
      <c r="AB464" t="inlineStr">
        <is>
          <t>Single</t>
        </is>
      </c>
      <c r="AC464" s="5">
        <f>IF(ISNUMBER(V464),Q464,"")</f>
        <v/>
      </c>
      <c r="AD464">
        <f>IF(ISNUMBER(W464),R464,"")</f>
        <v/>
      </c>
    </row>
    <row r="465">
      <c r="A465" t="inlineStr">
        <is>
          <t>T-068729</t>
        </is>
      </c>
      <c r="B465" t="inlineStr">
        <is>
          <t>Trent</t>
        </is>
      </c>
      <c r="C465" s="2" t="n">
        <v>46300.51909722222</v>
      </c>
      <c r="D465">
        <f>IF(C465="","",TEXT(C465,"dddd"))</f>
        <v/>
      </c>
      <c r="E465" s="3" t="n">
        <v>46300</v>
      </c>
      <c r="F465">
        <f>IF(E465="","",TEXT(E465,"dddd"))</f>
        <v/>
      </c>
      <c r="G465" t="inlineStr">
        <is>
          <t>8:15 PM</t>
        </is>
      </c>
      <c r="H465" t="inlineStr">
        <is>
          <t>Y</t>
        </is>
      </c>
      <c r="I465" t="inlineStr">
        <is>
          <t>MNF</t>
        </is>
      </c>
      <c r="J465" t="inlineStr">
        <is>
          <t>NFL</t>
        </is>
      </c>
      <c r="K465" t="inlineStr">
        <is>
          <t>NFL</t>
        </is>
      </c>
      <c r="L465" t="inlineStr">
        <is>
          <t>ML</t>
        </is>
      </c>
      <c r="M465" t="inlineStr">
        <is>
          <t>New Orleans Saints ML vs Falcons (MNF)</t>
        </is>
      </c>
      <c r="N465" t="n">
        <v>1</v>
      </c>
      <c r="O465" t="inlineStr">
        <is>
          <t>-120</t>
        </is>
      </c>
      <c r="P465" s="4" t="n">
        <v>1.8333</v>
      </c>
      <c r="Q465" s="5" t="inlineStr"/>
      <c r="R465" t="n">
        <v>3</v>
      </c>
      <c r="S465" s="5" t="n">
        <v>2678</v>
      </c>
      <c r="T465" t="inlineStr">
        <is>
          <t>PrizePicks</t>
        </is>
      </c>
      <c r="U465" t="inlineStr">
        <is>
          <t>L</t>
        </is>
      </c>
      <c r="V465" s="5">
        <f>IF(NOT(ISNUMBER(Q465)),"",IF(U465="W",IF(ISNUMBER(S465),S465-Q465,IF(ISNUMBER(P465),Q465*(P465-1),"")),IF(U465="L",-Q465,IF(U465="Push",0,""))))</f>
        <v/>
      </c>
      <c r="W465">
        <f>IF(NOT(ISNUMBER(R465)),"",IF(U465="W",IF(ISNUMBER(P465),R465*(P465-1),""),IF(U465="L",-R465,IF(U465="Push",0,""))))</f>
        <v/>
      </c>
      <c r="X465" t="inlineStr">
        <is>
          <t>posted</t>
        </is>
      </c>
      <c r="Y465" t="inlineStr">
        <is>
          <t>N</t>
        </is>
      </c>
      <c r="Z465" t="inlineStr">
        <is>
          <t>https://x.com/BookitWithTrent/status/2107160767888068729</t>
        </is>
      </c>
      <c r="AA465" t="inlineStr">
        <is>
          <t>"MNF MORTAL MEGA MAX" 3u; PrizePicks 1.81x, $2,678 to win, stake not shown; "If you took the Falcons you're actually the sharpest"</t>
        </is>
      </c>
      <c r="AB465" t="inlineStr">
        <is>
          <t>Single</t>
        </is>
      </c>
      <c r="AC465" s="5">
        <f>IF(ISNUMBER(V465),Q465,"")</f>
        <v/>
      </c>
      <c r="AD465">
        <f>IF(ISNUMBER(W465),R465,"")</f>
        <v/>
      </c>
    </row>
    <row r="466">
      <c r="A466" t="inlineStr">
        <is>
          <t>S-012747</t>
        </is>
      </c>
      <c r="B466" t="inlineStr">
        <is>
          <t>Steve</t>
        </is>
      </c>
      <c r="C466" s="2" t="n">
        <v>46300.60251157408</v>
      </c>
      <c r="D466">
        <f>IF(C466="","",TEXT(C466,"dddd"))</f>
        <v/>
      </c>
      <c r="E466" s="3" t="n">
        <v>46300</v>
      </c>
      <c r="F466">
        <f>IF(E466="","",TEXT(E466,"dddd"))</f>
        <v/>
      </c>
      <c r="G466" t="inlineStr">
        <is>
          <t>8:15 PM</t>
        </is>
      </c>
      <c r="H466" t="inlineStr">
        <is>
          <t>N</t>
        </is>
      </c>
      <c r="I466" t="inlineStr"/>
      <c r="J466" t="inlineStr">
        <is>
          <t>Other</t>
        </is>
      </c>
      <c r="K466" t="inlineStr">
        <is>
          <t>NFL + MLB</t>
        </is>
      </c>
      <c r="L466" t="inlineStr">
        <is>
          <t>parlay</t>
        </is>
      </c>
      <c r="M466" t="inlineStr">
        <is>
          <t>New York Yankees ML (-125) vs Rays (ALDS G2); Atlanta Falcons +1.5 (-110) vs Saints</t>
        </is>
      </c>
      <c r="N466" t="n">
        <v>2</v>
      </c>
      <c r="O466" t="inlineStr">
        <is>
          <t>+244</t>
        </is>
      </c>
      <c r="P466" s="4" t="n">
        <v>3.44</v>
      </c>
      <c r="Q466" s="5" t="n">
        <v>225000</v>
      </c>
      <c r="R466" t="inlineStr"/>
      <c r="S466" s="5" t="n">
        <v>773181.8</v>
      </c>
      <c r="T466" t="inlineStr">
        <is>
          <t>Red Rock (sportsbook)</t>
        </is>
      </c>
      <c r="U466" t="inlineStr">
        <is>
          <t>L</t>
        </is>
      </c>
      <c r="V466" s="5">
        <f>IF(NOT(ISNUMBER(Q466)),"",IF(U466="W",IF(ISNUMBER(S466),S466-Q466,IF(ISNUMBER(P466),Q466*(P466-1),"")),IF(U466="L",-Q466,IF(U466="Push",0,""))))</f>
        <v/>
      </c>
      <c r="W466">
        <f>IF(NOT(ISNUMBER(R466)),"",IF(U466="W",IF(ISNUMBER(P466),R466*(P466-1),""),IF(U466="L",-R466,IF(U466="Push",0,""))))</f>
        <v/>
      </c>
      <c r="X466" t="inlineStr">
        <is>
          <t>graded from final</t>
        </is>
      </c>
      <c r="Y466" t="inlineStr">
        <is>
          <t>N</t>
        </is>
      </c>
      <c r="Z466" t="inlineStr">
        <is>
          <t>https://x.com/stevewilldoit/status/2107190993393012747</t>
        </is>
      </c>
      <c r="AA466" t="inlineStr">
        <is>
          <t>"$275,000..." Red Rock ticket</t>
        </is>
      </c>
      <c r="AB466" t="inlineStr">
        <is>
          <t>Parlay/multi-leg</t>
        </is>
      </c>
      <c r="AC466" s="5">
        <f>IF(ISNUMBER(V466),Q466,"")</f>
        <v/>
      </c>
      <c r="AD466">
        <f>IF(ISNUMBER(W466),R466,"")</f>
        <v/>
      </c>
    </row>
    <row r="467">
      <c r="A467" t="inlineStr">
        <is>
          <t>S-012747b</t>
        </is>
      </c>
      <c r="B467" t="inlineStr">
        <is>
          <t>Steve</t>
        </is>
      </c>
      <c r="C467" s="2" t="n">
        <v>46300.60251157408</v>
      </c>
      <c r="D467">
        <f>IF(C467="","",TEXT(C467,"dddd"))</f>
        <v/>
      </c>
      <c r="E467" s="3" t="n">
        <v>46300</v>
      </c>
      <c r="F467">
        <f>IF(E467="","",TEXT(E467,"dddd"))</f>
        <v/>
      </c>
      <c r="G467" t="inlineStr">
        <is>
          <t>8:15 PM</t>
        </is>
      </c>
      <c r="H467" t="inlineStr">
        <is>
          <t>N</t>
        </is>
      </c>
      <c r="I467" t="inlineStr"/>
      <c r="J467" t="inlineStr">
        <is>
          <t>Other</t>
        </is>
      </c>
      <c r="K467" t="inlineStr">
        <is>
          <t>NFL + MLB</t>
        </is>
      </c>
      <c r="L467" t="inlineStr">
        <is>
          <t>parlay</t>
        </is>
      </c>
      <c r="M467" t="inlineStr">
        <is>
          <t>Chicago White Sox F5 ML (+140) at Guardians (ALDS G2); Atlanta Falcons +1.5 (-110); Falcons/Saints Over 48 (-110)</t>
        </is>
      </c>
      <c r="N467" t="n">
        <v>3</v>
      </c>
      <c r="O467" t="inlineStr">
        <is>
          <t>+764</t>
        </is>
      </c>
      <c r="P467" s="4" t="n">
        <v>8.640000000000001</v>
      </c>
      <c r="Q467" s="5" t="n">
        <v>50000</v>
      </c>
      <c r="R467" t="inlineStr"/>
      <c r="S467" s="5" t="n">
        <v>432000</v>
      </c>
      <c r="T467" t="inlineStr">
        <is>
          <t>Red Rock (sportsbook)</t>
        </is>
      </c>
      <c r="U467" t="inlineStr">
        <is>
          <t>L</t>
        </is>
      </c>
      <c r="V467" s="5">
        <f>IF(NOT(ISNUMBER(Q467)),"",IF(U467="W",IF(ISNUMBER(S467),S467-Q467,IF(ISNUMBER(P467),Q467*(P467-1),"")),IF(U467="L",-Q467,IF(U467="Push",0,""))))</f>
        <v/>
      </c>
      <c r="W467">
        <f>IF(NOT(ISNUMBER(R467)),"",IF(U467="W",IF(ISNUMBER(P467),R467*(P467-1),""),IF(U467="L",-R467,IF(U467="Push",0,""))))</f>
        <v/>
      </c>
      <c r="X467" t="inlineStr">
        <is>
          <t>graded from final</t>
        </is>
      </c>
      <c r="Y467" t="inlineStr">
        <is>
          <t>N</t>
        </is>
      </c>
      <c r="Z467" t="inlineStr">
        <is>
          <t>https://x.com/stevewilldoit/status/2107190993393012747</t>
        </is>
      </c>
      <c r="AA467" t="inlineStr">
        <is>
          <t>Second Red Rock ticket in 012747</t>
        </is>
      </c>
      <c r="AB467" t="inlineStr">
        <is>
          <t>Parlay/multi-leg</t>
        </is>
      </c>
      <c r="AC467" s="5">
        <f>IF(ISNUMBER(V467),Q467,"")</f>
        <v/>
      </c>
      <c r="AD467">
        <f>IF(ISNUMBER(W467),R467,"")</f>
        <v/>
      </c>
    </row>
    <row r="468">
      <c r="A468" t="inlineStr">
        <is>
          <t>T-198363</t>
        </is>
      </c>
      <c r="B468" t="inlineStr">
        <is>
          <t>Trent</t>
        </is>
      </c>
      <c r="C468" s="2" t="n">
        <v>46300.63335648148</v>
      </c>
      <c r="D468">
        <f>IF(C468="","",TEXT(C468,"dddd"))</f>
        <v/>
      </c>
      <c r="E468" s="3" t="n">
        <v>46300</v>
      </c>
      <c r="F468">
        <f>IF(E468="","",TEXT(E468,"dddd"))</f>
        <v/>
      </c>
      <c r="G468" t="inlineStr">
        <is>
          <t>8:15 PM</t>
        </is>
      </c>
      <c r="H468" t="inlineStr">
        <is>
          <t>Y</t>
        </is>
      </c>
      <c r="I468" t="inlineStr">
        <is>
          <t>MNF</t>
        </is>
      </c>
      <c r="J468" t="inlineStr">
        <is>
          <t>NFL</t>
        </is>
      </c>
      <c r="K468" t="inlineStr">
        <is>
          <t>NFL</t>
        </is>
      </c>
      <c r="L468" t="inlineStr">
        <is>
          <t>PrizePicks/DFS</t>
        </is>
      </c>
      <c r="M468" t="inlineStr">
        <is>
          <t>Alvin Kamara o11 fantasy score; Michael Penix Jr. o30.5 pass att; Juwan Johnson o44.5 rec yds; Bijan Robinson u19 rush att</t>
        </is>
      </c>
      <c r="N468" t="n">
        <v>4</v>
      </c>
      <c r="O468" t="inlineStr">
        <is>
          <t>+875</t>
        </is>
      </c>
      <c r="P468" s="4" t="n">
        <v>9.75</v>
      </c>
      <c r="Q468" s="5" t="n">
        <v>1050</v>
      </c>
      <c r="R468" t="inlineStr"/>
      <c r="S468" s="5" t="n">
        <v>10237.5</v>
      </c>
      <c r="T468" t="inlineStr">
        <is>
          <t>PrizePicks</t>
        </is>
      </c>
      <c r="U468" t="inlineStr">
        <is>
          <t>L</t>
        </is>
      </c>
      <c r="V468" s="5">
        <f>IF(NOT(ISNUMBER(Q468)),"",IF(U468="W",IF(ISNUMBER(S468),S468-Q468,IF(ISNUMBER(P468),Q468*(P468-1),"")),IF(U468="L",-Q468,IF(U468="Push",0,""))))</f>
        <v/>
      </c>
      <c r="W468">
        <f>IF(NOT(ISNUMBER(R468)),"",IF(U468="W",IF(ISNUMBER(P468),R468*(P468-1),""),IF(U468="L",-R468,IF(U468="Push",0,""))))</f>
        <v/>
      </c>
      <c r="X468" t="inlineStr">
        <is>
          <t>graded from final</t>
        </is>
      </c>
      <c r="Y468" t="inlineStr">
        <is>
          <t>N</t>
        </is>
      </c>
      <c r="Z468" t="inlineStr">
        <is>
          <t>https://x.com/BookitWithTrent/status/2107202174497198363</t>
        </is>
      </c>
      <c r="AA468" t="inlineStr">
        <is>
          <t>"The MNF Scripture"; Final: Penix 20 pass att</t>
        </is>
      </c>
      <c r="AB468" t="inlineStr">
        <is>
          <t>Parlay/multi-leg</t>
        </is>
      </c>
      <c r="AC468" s="5">
        <f>IF(ISNUMBER(V468),Q468,"")</f>
        <v/>
      </c>
      <c r="AD468">
        <f>IF(ISNUMBER(W468),R468,"")</f>
        <v/>
      </c>
    </row>
    <row r="469">
      <c r="A469" t="inlineStr">
        <is>
          <t>T-403517a</t>
        </is>
      </c>
      <c r="B469" t="inlineStr">
        <is>
          <t>Trent</t>
        </is>
      </c>
      <c r="C469" s="2" t="n">
        <v>46300.63704861111</v>
      </c>
      <c r="D469">
        <f>IF(C469="","",TEXT(C469,"dddd"))</f>
        <v/>
      </c>
      <c r="E469" s="3" t="n">
        <v>46300</v>
      </c>
      <c r="F469">
        <f>IF(E469="","",TEXT(E469,"dddd"))</f>
        <v/>
      </c>
      <c r="G469" t="inlineStr">
        <is>
          <t>8:00 PM</t>
        </is>
      </c>
      <c r="H469" t="inlineStr">
        <is>
          <t>N</t>
        </is>
      </c>
      <c r="I469" t="inlineStr"/>
      <c r="J469" t="inlineStr">
        <is>
          <t>MLB</t>
        </is>
      </c>
      <c r="K469" t="inlineStr">
        <is>
          <t>MLB</t>
        </is>
      </c>
      <c r="L469" t="inlineStr">
        <is>
          <t>ML</t>
        </is>
      </c>
      <c r="M469" t="inlineStr">
        <is>
          <t>New York Yankees ML vs Rays (ALDS G2)</t>
        </is>
      </c>
      <c r="N469" t="n">
        <v>1</v>
      </c>
      <c r="O469" t="inlineStr">
        <is>
          <t>not shown</t>
        </is>
      </c>
      <c r="P469" s="4" t="inlineStr"/>
      <c r="Q469" s="5" t="inlineStr"/>
      <c r="R469" t="n">
        <v>3</v>
      </c>
      <c r="S469" s="5" t="inlineStr"/>
      <c r="T469" t="inlineStr">
        <is>
          <t>not shown</t>
        </is>
      </c>
      <c r="U469" t="inlineStr">
        <is>
          <t>L</t>
        </is>
      </c>
      <c r="V469" s="5">
        <f>IF(NOT(ISNUMBER(Q469)),"",IF(U469="W",IF(ISNUMBER(S469),S469-Q469,IF(ISNUMBER(P469),Q469*(P469-1),"")),IF(U469="L",-Q469,IF(U469="Push",0,""))))</f>
        <v/>
      </c>
      <c r="W469">
        <f>IF(NOT(ISNUMBER(R469)),"",IF(U469="W",IF(ISNUMBER(P469),R469*(P469-1),""),IF(U469="L",-R469,IF(U469="Push",0,""))))</f>
        <v/>
      </c>
      <c r="X469" t="inlineStr">
        <is>
          <t>graded from final</t>
        </is>
      </c>
      <c r="Y469" t="inlineStr">
        <is>
          <t>N</t>
        </is>
      </c>
      <c r="Z469" t="inlineStr">
        <is>
          <t>https://x.com/BookitWithTrent/status/2107203509871403517</t>
        </is>
      </c>
      <c r="AA469" t="inlineStr">
        <is>
          <t>"MLB Playoff Megas" 3u</t>
        </is>
      </c>
      <c r="AB469" t="inlineStr">
        <is>
          <t>Single</t>
        </is>
      </c>
      <c r="AC469" s="5">
        <f>IF(ISNUMBER(V469),Q469,"")</f>
        <v/>
      </c>
      <c r="AD469">
        <f>IF(ISNUMBER(W469),R469,"")</f>
        <v/>
      </c>
    </row>
    <row r="470">
      <c r="A470" t="inlineStr">
        <is>
          <t>T-403517b</t>
        </is>
      </c>
      <c r="B470" t="inlineStr">
        <is>
          <t>Trent</t>
        </is>
      </c>
      <c r="C470" s="2" t="n">
        <v>46300.63704861111</v>
      </c>
      <c r="D470">
        <f>IF(C470="","",TEXT(C470,"dddd"))</f>
        <v/>
      </c>
      <c r="E470" s="3" t="n">
        <v>46300</v>
      </c>
      <c r="F470">
        <f>IF(E470="","",TEXT(E470,"dddd"))</f>
        <v/>
      </c>
      <c r="G470" t="inlineStr">
        <is>
          <t>5:00 PM</t>
        </is>
      </c>
      <c r="H470" t="inlineStr">
        <is>
          <t>N</t>
        </is>
      </c>
      <c r="I470" t="inlineStr"/>
      <c r="J470" t="inlineStr">
        <is>
          <t>MLB</t>
        </is>
      </c>
      <c r="K470" t="inlineStr">
        <is>
          <t>MLB</t>
        </is>
      </c>
      <c r="L470" t="inlineStr">
        <is>
          <t>ML</t>
        </is>
      </c>
      <c r="M470" t="inlineStr">
        <is>
          <t>Cleveland Guardians ML vs White Sox (ALDS G2)</t>
        </is>
      </c>
      <c r="N470" t="n">
        <v>1</v>
      </c>
      <c r="O470" t="inlineStr">
        <is>
          <t>not shown</t>
        </is>
      </c>
      <c r="P470" s="4" t="inlineStr"/>
      <c r="Q470" s="5" t="inlineStr"/>
      <c r="R470" t="n">
        <v>3</v>
      </c>
      <c r="S470" s="5" t="inlineStr"/>
      <c r="T470" t="inlineStr">
        <is>
          <t>not shown</t>
        </is>
      </c>
      <c r="U470" t="inlineStr">
        <is>
          <t>L</t>
        </is>
      </c>
      <c r="V470" s="5">
        <f>IF(NOT(ISNUMBER(Q470)),"",IF(U470="W",IF(ISNUMBER(S470),S470-Q470,IF(ISNUMBER(P470),Q470*(P470-1),"")),IF(U470="L",-Q470,IF(U470="Push",0,""))))</f>
        <v/>
      </c>
      <c r="W470">
        <f>IF(NOT(ISNUMBER(R470)),"",IF(U470="W",IF(ISNUMBER(P470),R470*(P470-1),""),IF(U470="L",-R470,IF(U470="Push",0,""))))</f>
        <v/>
      </c>
      <c r="X470" t="inlineStr">
        <is>
          <t>graded from final</t>
        </is>
      </c>
      <c r="Y470" t="inlineStr">
        <is>
          <t>N</t>
        </is>
      </c>
      <c r="Z470" t="inlineStr">
        <is>
          <t>https://x.com/BookitWithTrent/status/2107203509871403517</t>
        </is>
      </c>
      <c r="AA470" t="inlineStr">
        <is>
          <t>"MLB Playoff Megas" 3u</t>
        </is>
      </c>
      <c r="AB470" t="inlineStr">
        <is>
          <t>Single</t>
        </is>
      </c>
      <c r="AC470" s="5">
        <f>IF(ISNUMBER(V470),Q470,"")</f>
        <v/>
      </c>
      <c r="AD470">
        <f>IF(ISNUMBER(W470),R470,"")</f>
        <v/>
      </c>
    </row>
    <row r="471">
      <c r="A471" t="inlineStr">
        <is>
          <t>T-423586</t>
        </is>
      </c>
      <c r="B471" t="inlineStr">
        <is>
          <t>Trent</t>
        </is>
      </c>
      <c r="C471" s="2" t="n">
        <v>46300.65489583334</v>
      </c>
      <c r="D471">
        <f>IF(C471="","",TEXT(C471,"dddd"))</f>
        <v/>
      </c>
      <c r="E471" s="3" t="n">
        <v>46300</v>
      </c>
      <c r="F471">
        <f>IF(E471="","",TEXT(E471,"dddd"))</f>
        <v/>
      </c>
      <c r="G471" t="inlineStr">
        <is>
          <t>not matched</t>
        </is>
      </c>
      <c r="H471" t="inlineStr">
        <is>
          <t>N</t>
        </is>
      </c>
      <c r="I471" t="inlineStr"/>
      <c r="J471" t="inlineStr">
        <is>
          <t>Other</t>
        </is>
      </c>
      <c r="K471" t="inlineStr">
        <is>
          <t>NFL + MLB + NHL</t>
        </is>
      </c>
      <c r="L471" t="inlineStr">
        <is>
          <t>PrizePicks/DFS</t>
        </is>
      </c>
      <c r="M471" t="inlineStr">
        <is>
          <t>Saints win vs Falcons; Guardians win vs White Sox; Yankees win vs Rays; Stars win vs Sharks; Penguins win vs Jets</t>
        </is>
      </c>
      <c r="N471" t="n">
        <v>5</v>
      </c>
      <c r="O471" t="inlineStr">
        <is>
          <t>+1036</t>
        </is>
      </c>
      <c r="P471" s="4" t="n">
        <v>11.36</v>
      </c>
      <c r="Q471" s="5" t="n">
        <v>499.93</v>
      </c>
      <c r="R471" t="inlineStr"/>
      <c r="S471" s="5" t="n">
        <v>5681</v>
      </c>
      <c r="T471" t="inlineStr">
        <is>
          <t>PrizePicks</t>
        </is>
      </c>
      <c r="U471" t="inlineStr">
        <is>
          <t>L</t>
        </is>
      </c>
      <c r="V471" s="5">
        <f>IF(NOT(ISNUMBER(Q471)),"",IF(U471="W",IF(ISNUMBER(S471),S471-Q471,IF(ISNUMBER(P471),Q471*(P471-1),"")),IF(U471="L",-Q471,IF(U471="Push",0,""))))</f>
        <v/>
      </c>
      <c r="W471">
        <f>IF(NOT(ISNUMBER(R471)),"",IF(U471="W",IF(ISNUMBER(P471),R471*(P471-1),""),IF(U471="L",-R471,IF(U471="Push",0,""))))</f>
        <v/>
      </c>
      <c r="X471" t="inlineStr">
        <is>
          <t>posted</t>
        </is>
      </c>
      <c r="Y471" t="inlineStr">
        <is>
          <t>N</t>
        </is>
      </c>
      <c r="Z471" t="inlineStr">
        <is>
          <t>https://x.com/BookitWithTrent/status/2107209978486423586</t>
        </is>
      </c>
      <c r="AA471" t="inlineStr">
        <is>
          <t>"Monday night legacies"; same 5 picks shown as Pikkit "Fugazi Five" ($500 to pay $6,000) graphic 604309 with 4 ❌</t>
        </is>
      </c>
      <c r="AB471" t="inlineStr">
        <is>
          <t>Parlay/multi-leg</t>
        </is>
      </c>
      <c r="AC471" s="5">
        <f>IF(ISNUMBER(V471),Q471,"")</f>
        <v/>
      </c>
      <c r="AD471">
        <f>IF(ISNUMBER(W471),R471,"")</f>
        <v/>
      </c>
    </row>
    <row r="472">
      <c r="A472" t="inlineStr">
        <is>
          <t>T-100901</t>
        </is>
      </c>
      <c r="B472" t="inlineStr">
        <is>
          <t>Trent</t>
        </is>
      </c>
      <c r="C472" s="2" t="n">
        <v>46300.67325231482</v>
      </c>
      <c r="D472">
        <f>IF(C472="","",TEXT(C472,"dddd"))</f>
        <v/>
      </c>
      <c r="E472" s="3" t="n">
        <v>46300</v>
      </c>
      <c r="F472">
        <f>IF(E472="","",TEXT(E472,"dddd"))</f>
        <v/>
      </c>
      <c r="G472" t="inlineStr">
        <is>
          <t>8:15 PM</t>
        </is>
      </c>
      <c r="H472" t="inlineStr">
        <is>
          <t>Y</t>
        </is>
      </c>
      <c r="I472" t="inlineStr">
        <is>
          <t>MNF</t>
        </is>
      </c>
      <c r="J472" t="inlineStr">
        <is>
          <t>NFL</t>
        </is>
      </c>
      <c r="K472" t="inlineStr">
        <is>
          <t>NFL</t>
        </is>
      </c>
      <c r="L472" t="inlineStr">
        <is>
          <t>first TD</t>
        </is>
      </c>
      <c r="M472" t="inlineStr">
        <is>
          <t>Alvin Kamara first TD scorer (MNF)</t>
        </is>
      </c>
      <c r="N472" t="n">
        <v>1</v>
      </c>
      <c r="O472" t="inlineStr">
        <is>
          <t>+733</t>
        </is>
      </c>
      <c r="P472" s="4" t="n">
        <v>8.33</v>
      </c>
      <c r="Q472" s="5" t="n">
        <v>240</v>
      </c>
      <c r="R472" t="inlineStr"/>
      <c r="S472" s="5" t="n">
        <v>2000</v>
      </c>
      <c r="T472" t="inlineStr">
        <is>
          <t>PrizePicks</t>
        </is>
      </c>
      <c r="U472" t="inlineStr">
        <is>
          <t>L</t>
        </is>
      </c>
      <c r="V472" s="5">
        <f>IF(NOT(ISNUMBER(Q472)),"",IF(U472="W",IF(ISNUMBER(S472),S472-Q472,IF(ISNUMBER(P472),Q472*(P472-1),"")),IF(U472="L",-Q472,IF(U472="Push",0,""))))</f>
        <v/>
      </c>
      <c r="W472">
        <f>IF(NOT(ISNUMBER(R472)),"",IF(U472="W",IF(ISNUMBER(P472),R472*(P472-1),""),IF(U472="L",-R472,IF(U472="Push",0,""))))</f>
        <v/>
      </c>
      <c r="X472" t="inlineStr">
        <is>
          <t>posted</t>
        </is>
      </c>
      <c r="Y472" t="inlineStr">
        <is>
          <t>N</t>
        </is>
      </c>
      <c r="Z472" t="inlineStr">
        <is>
          <t>https://x.com/BookitWithTrent/status/2107216631982100901</t>
        </is>
      </c>
      <c r="AA472" t="inlineStr">
        <is>
          <t>Post says +800; next first-TD post shows record 1-12</t>
        </is>
      </c>
      <c r="AB472" t="inlineStr">
        <is>
          <t>Single</t>
        </is>
      </c>
      <c r="AC472" s="5">
        <f>IF(ISNUMBER(V472),Q472,"")</f>
        <v/>
      </c>
      <c r="AD472">
        <f>IF(ISNUMBER(W472),R472,"")</f>
        <v/>
      </c>
    </row>
    <row r="473">
      <c r="A473" t="inlineStr">
        <is>
          <t>T-592936</t>
        </is>
      </c>
      <c r="B473" t="inlineStr">
        <is>
          <t>Trent</t>
        </is>
      </c>
      <c r="C473" s="2" t="n">
        <v>46300.7446875</v>
      </c>
      <c r="D473">
        <f>IF(C473="","",TEXT(C473,"dddd"))</f>
        <v/>
      </c>
      <c r="E473" s="3" t="n">
        <v>46300</v>
      </c>
      <c r="F473">
        <f>IF(E473="","",TEXT(E473,"dddd"))</f>
        <v/>
      </c>
      <c r="G473" t="inlineStr">
        <is>
          <t>8:15 PM</t>
        </is>
      </c>
      <c r="H473" t="inlineStr">
        <is>
          <t>Y</t>
        </is>
      </c>
      <c r="I473" t="inlineStr">
        <is>
          <t>MNF</t>
        </is>
      </c>
      <c r="J473" t="inlineStr">
        <is>
          <t>NFL</t>
        </is>
      </c>
      <c r="K473" t="inlineStr">
        <is>
          <t>NFL</t>
        </is>
      </c>
      <c r="L473" t="inlineStr">
        <is>
          <t>PrizePicks/DFS</t>
        </is>
      </c>
      <c r="M473" t="inlineStr">
        <is>
          <t>Michael Penix Jr. u92.5 passer rating; D. Carlson + N. Folk o36.5 last FG distance (combo); R. Wright + J. Bailey o0.5 punt touchbacks (combo); Tyler Shough u62.7 completion %</t>
        </is>
      </c>
      <c r="N473" t="n">
        <v>4</v>
      </c>
      <c r="O473" t="inlineStr">
        <is>
          <t>+825</t>
        </is>
      </c>
      <c r="P473" s="4" t="n">
        <v>9.25</v>
      </c>
      <c r="Q473" s="5" t="n">
        <v>500</v>
      </c>
      <c r="R473" t="inlineStr"/>
      <c r="S473" s="5" t="n">
        <v>4625</v>
      </c>
      <c r="T473" t="inlineStr">
        <is>
          <t>PrizePicks</t>
        </is>
      </c>
      <c r="U473" t="inlineStr">
        <is>
          <t>L</t>
        </is>
      </c>
      <c r="V473" s="5">
        <f>IF(NOT(ISNUMBER(Q473)),"",IF(U473="W",IF(ISNUMBER(S473),S473-Q473,IF(ISNUMBER(P473),Q473*(P473-1),"")),IF(U473="L",-Q473,IF(U473="Push",0,""))))</f>
        <v/>
      </c>
      <c r="W473">
        <f>IF(NOT(ISNUMBER(R473)),"",IF(U473="W",IF(ISNUMBER(P473),R473*(P473-1),""),IF(U473="L",-R473,IF(U473="Push",0,""))))</f>
        <v/>
      </c>
      <c r="X473" t="inlineStr">
        <is>
          <t>posted</t>
        </is>
      </c>
      <c r="Y473" t="inlineStr">
        <is>
          <t>N</t>
        </is>
      </c>
      <c r="Z473" t="inlineStr">
        <is>
          <t>https://x.com/BookitWithTrent/status/2107242515942592936</t>
        </is>
      </c>
      <c r="AA473" t="inlineStr">
        <is>
          <t>"I really took Penix under passer rating and he had his career best" (127.7)</t>
        </is>
      </c>
      <c r="AB473" t="inlineStr">
        <is>
          <t>Parlay/multi-leg</t>
        </is>
      </c>
      <c r="AC473" s="5">
        <f>IF(ISNUMBER(V473),Q473,"")</f>
        <v/>
      </c>
      <c r="AD473">
        <f>IF(ISNUMBER(W473),R473,"")</f>
        <v/>
      </c>
    </row>
    <row r="474">
      <c r="A474" t="inlineStr">
        <is>
          <t>T-281948</t>
        </is>
      </c>
      <c r="B474" t="inlineStr">
        <is>
          <t>Trent</t>
        </is>
      </c>
      <c r="C474" s="2" t="n">
        <v>46301.63072916667</v>
      </c>
      <c r="D474">
        <f>IF(C474="","",TEXT(C474,"dddd"))</f>
        <v/>
      </c>
      <c r="E474" s="3" t="n">
        <v>46301</v>
      </c>
      <c r="F474">
        <f>IF(E474="","",TEXT(E474,"dddd"))</f>
        <v/>
      </c>
      <c r="G474" t="inlineStr">
        <is>
          <t>6:00 PM</t>
        </is>
      </c>
      <c r="H474" t="inlineStr">
        <is>
          <t>N</t>
        </is>
      </c>
      <c r="I474" t="inlineStr"/>
      <c r="J474" t="inlineStr">
        <is>
          <t>MLB</t>
        </is>
      </c>
      <c r="K474" t="inlineStr">
        <is>
          <t>MLB</t>
        </is>
      </c>
      <c r="L474" t="inlineStr">
        <is>
          <t>total</t>
        </is>
      </c>
      <c r="M474" t="inlineStr">
        <is>
          <t>Braves/Dodgers Under 6.5</t>
        </is>
      </c>
      <c r="N474" t="n">
        <v>1</v>
      </c>
      <c r="O474" t="inlineStr">
        <is>
          <t>not shown</t>
        </is>
      </c>
      <c r="P474" s="4" t="inlineStr"/>
      <c r="Q474" s="5" t="inlineStr"/>
      <c r="R474" t="n">
        <v>10</v>
      </c>
      <c r="S474" s="5" t="inlineStr"/>
      <c r="T474" t="inlineStr">
        <is>
          <t>not shown</t>
        </is>
      </c>
      <c r="U474" t="inlineStr">
        <is>
          <t>W</t>
        </is>
      </c>
      <c r="V474" s="5">
        <f>IF(NOT(ISNUMBER(Q474)),"",IF(U474="W",IF(ISNUMBER(S474),S474-Q474,IF(ISNUMBER(P474),Q474*(P474-1),"")),IF(U474="L",-Q474,IF(U474="Push",0,""))))</f>
        <v/>
      </c>
      <c r="W474">
        <f>IF(NOT(ISNUMBER(R474)),"",IF(U474="W",IF(ISNUMBER(P474),R474*(P474-1),""),IF(U474="L",-R474,IF(U474="Push",0,""))))</f>
        <v/>
      </c>
      <c r="X474" t="inlineStr">
        <is>
          <t>posted</t>
        </is>
      </c>
      <c r="Y474" t="inlineStr">
        <is>
          <t>N</t>
        </is>
      </c>
      <c r="Z474" t="inlineStr">
        <is>
          <t>https://x.com/BookitWithTrent/status/2107563609509281948</t>
        </is>
      </c>
      <c r="AA474" t="inlineStr">
        <is>
          <t>"The Play of the Year" 10u; "CASH THE FUCKIN PLAY OF YEAAARRRR"</t>
        </is>
      </c>
      <c r="AB474" t="inlineStr">
        <is>
          <t>Single</t>
        </is>
      </c>
      <c r="AC474" s="5">
        <f>IF(ISNUMBER(V474),Q474,"")</f>
        <v/>
      </c>
      <c r="AD474">
        <f>IF(ISNUMBER(W474),R474,"")</f>
        <v/>
      </c>
    </row>
    <row r="475">
      <c r="A475" t="inlineStr">
        <is>
          <t>T-281948b</t>
        </is>
      </c>
      <c r="B475" t="inlineStr">
        <is>
          <t>Trent</t>
        </is>
      </c>
      <c r="C475" s="2" t="n">
        <v>46301.63072916667</v>
      </c>
      <c r="D475">
        <f>IF(C475="","",TEXT(C475,"dddd"))</f>
        <v/>
      </c>
      <c r="E475" s="3" t="n">
        <v>46301</v>
      </c>
      <c r="F475">
        <f>IF(E475="","",TEXT(E475,"dddd"))</f>
        <v/>
      </c>
      <c r="G475" t="inlineStr">
        <is>
          <t>not matched</t>
        </is>
      </c>
      <c r="H475" t="inlineStr">
        <is>
          <t>N</t>
        </is>
      </c>
      <c r="I475" t="inlineStr"/>
      <c r="J475" t="inlineStr">
        <is>
          <t>MLB</t>
        </is>
      </c>
      <c r="K475" t="inlineStr">
        <is>
          <t>MLB</t>
        </is>
      </c>
      <c r="L475" t="inlineStr">
        <is>
          <t>NRFI</t>
        </is>
      </c>
      <c r="M475" t="inlineStr">
        <is>
          <t>NRFI ladder - 1st inning NRFI Braves/Dodgers</t>
        </is>
      </c>
      <c r="N475" t="n">
        <v>1</v>
      </c>
      <c r="O475" t="inlineStr">
        <is>
          <t>not shown</t>
        </is>
      </c>
      <c r="P475" s="4" t="inlineStr"/>
      <c r="Q475" s="5" t="n">
        <v>1000</v>
      </c>
      <c r="R475" t="inlineStr"/>
      <c r="S475" s="5" t="inlineStr"/>
      <c r="T475" t="inlineStr">
        <is>
          <t>not shown</t>
        </is>
      </c>
      <c r="U475" t="inlineStr">
        <is>
          <t>W</t>
        </is>
      </c>
      <c r="V475" s="5">
        <f>IF(NOT(ISNUMBER(Q475)),"",IF(U475="W",IF(ISNUMBER(S475),S475-Q475,IF(ISNUMBER(P475),Q475*(P475-1),"")),IF(U475="L",-Q475,IF(U475="Push",0,""))))</f>
        <v/>
      </c>
      <c r="W475">
        <f>IF(NOT(ISNUMBER(R475)),"",IF(U475="W",IF(ISNUMBER(P475),R475*(P475-1),""),IF(U475="L",-R475,IF(U475="Push",0,""))))</f>
        <v/>
      </c>
      <c r="X475" t="inlineStr">
        <is>
          <t>posted</t>
        </is>
      </c>
      <c r="Y475" t="inlineStr">
        <is>
          <t>N</t>
        </is>
      </c>
      <c r="Z475" t="inlineStr">
        <is>
          <t>https://x.com/BookitWithTrent/status/2107563609509281948</t>
        </is>
      </c>
      <c r="AA475" t="inlineStr">
        <is>
          <t>"$1000 on the NRFI and laddering it"; "1 inning down ✅"</t>
        </is>
      </c>
      <c r="AB475" t="inlineStr">
        <is>
          <t>Single</t>
        </is>
      </c>
      <c r="AC475" s="5">
        <f>IF(ISNUMBER(V475),Q475,"")</f>
        <v/>
      </c>
      <c r="AD475">
        <f>IF(ISNUMBER(W475),R475,"")</f>
        <v/>
      </c>
    </row>
    <row r="476">
      <c r="A476" t="inlineStr">
        <is>
          <t>T-281948c</t>
        </is>
      </c>
      <c r="B476" t="inlineStr">
        <is>
          <t>Trent</t>
        </is>
      </c>
      <c r="C476" s="2" t="n">
        <v>46301.63072916667</v>
      </c>
      <c r="D476">
        <f>IF(C476="","",TEXT(C476,"dddd"))</f>
        <v/>
      </c>
      <c r="E476" s="3" t="n">
        <v>46301</v>
      </c>
      <c r="F476">
        <f>IF(E476="","",TEXT(E476,"dddd"))</f>
        <v/>
      </c>
      <c r="G476" t="inlineStr">
        <is>
          <t>not matched</t>
        </is>
      </c>
      <c r="H476" t="inlineStr">
        <is>
          <t>N</t>
        </is>
      </c>
      <c r="I476" t="inlineStr"/>
      <c r="J476" t="inlineStr">
        <is>
          <t>MLB</t>
        </is>
      </c>
      <c r="K476" t="inlineStr">
        <is>
          <t>MLB</t>
        </is>
      </c>
      <c r="L476" t="inlineStr">
        <is>
          <t>NRFI</t>
        </is>
      </c>
      <c r="M476" t="inlineStr">
        <is>
          <t>NRFI ladder - 2nd inning no run Braves/Dodgers</t>
        </is>
      </c>
      <c r="N476" t="n">
        <v>1</v>
      </c>
      <c r="O476" t="inlineStr">
        <is>
          <t>not shown</t>
        </is>
      </c>
      <c r="P476" s="4" t="inlineStr"/>
      <c r="Q476" s="5" t="inlineStr"/>
      <c r="R476" t="n">
        <v>2.5</v>
      </c>
      <c r="S476" s="5" t="inlineStr"/>
      <c r="T476" t="inlineStr">
        <is>
          <t>not shown</t>
        </is>
      </c>
      <c r="U476" t="inlineStr">
        <is>
          <t>W</t>
        </is>
      </c>
      <c r="V476" s="5">
        <f>IF(NOT(ISNUMBER(Q476)),"",IF(U476="W",IF(ISNUMBER(S476),S476-Q476,IF(ISNUMBER(P476),Q476*(P476-1),"")),IF(U476="L",-Q476,IF(U476="Push",0,""))))</f>
        <v/>
      </c>
      <c r="W476">
        <f>IF(NOT(ISNUMBER(R476)),"",IF(U476="W",IF(ISNUMBER(P476),R476*(P476-1),""),IF(U476="L",-R476,IF(U476="Push",0,""))))</f>
        <v/>
      </c>
      <c r="X476" t="inlineStr">
        <is>
          <t>posted</t>
        </is>
      </c>
      <c r="Y476" t="inlineStr">
        <is>
          <t>N</t>
        </is>
      </c>
      <c r="Z476" t="inlineStr">
        <is>
          <t>https://x.com/BookitWithTrent/status/2107563609509281948</t>
        </is>
      </c>
      <c r="AA476" t="inlineStr">
        <is>
          <t>"2nd inning NRFI (2.5u)"; "2ND INNING NRFI ✅✅"</t>
        </is>
      </c>
      <c r="AB476" t="inlineStr">
        <is>
          <t>Single</t>
        </is>
      </c>
      <c r="AC476" s="5">
        <f>IF(ISNUMBER(V476),Q476,"")</f>
        <v/>
      </c>
      <c r="AD476">
        <f>IF(ISNUMBER(W476),R476,"")</f>
        <v/>
      </c>
    </row>
    <row r="477">
      <c r="A477" t="inlineStr">
        <is>
          <t>T-281948d</t>
        </is>
      </c>
      <c r="B477" t="inlineStr">
        <is>
          <t>Trent</t>
        </is>
      </c>
      <c r="C477" s="2" t="n">
        <v>46301.63072916667</v>
      </c>
      <c r="D477">
        <f>IF(C477="","",TEXT(C477,"dddd"))</f>
        <v/>
      </c>
      <c r="E477" s="3" t="n">
        <v>46301</v>
      </c>
      <c r="F477">
        <f>IF(E477="","",TEXT(E477,"dddd"))</f>
        <v/>
      </c>
      <c r="G477" t="inlineStr">
        <is>
          <t>not matched</t>
        </is>
      </c>
      <c r="H477" t="inlineStr">
        <is>
          <t>N</t>
        </is>
      </c>
      <c r="I477" t="inlineStr"/>
      <c r="J477" t="inlineStr">
        <is>
          <t>MLB</t>
        </is>
      </c>
      <c r="K477" t="inlineStr">
        <is>
          <t>MLB</t>
        </is>
      </c>
      <c r="L477" t="inlineStr">
        <is>
          <t>NRFI</t>
        </is>
      </c>
      <c r="M477" t="inlineStr">
        <is>
          <t>NRFI ladder - 3rd inning no run Braves/Dodgers</t>
        </is>
      </c>
      <c r="N477" t="n">
        <v>1</v>
      </c>
      <c r="O477" t="inlineStr">
        <is>
          <t>not shown</t>
        </is>
      </c>
      <c r="P477" s="4" t="inlineStr"/>
      <c r="Q477" s="5" t="inlineStr"/>
      <c r="R477" t="inlineStr"/>
      <c r="S477" s="5" t="inlineStr"/>
      <c r="T477" t="inlineStr">
        <is>
          <t>not shown</t>
        </is>
      </c>
      <c r="U477" t="inlineStr">
        <is>
          <t>W</t>
        </is>
      </c>
      <c r="V477" s="5">
        <f>IF(NOT(ISNUMBER(Q477)),"",IF(U477="W",IF(ISNUMBER(S477),S477-Q477,IF(ISNUMBER(P477),Q477*(P477-1),"")),IF(U477="L",-Q477,IF(U477="Push",0,""))))</f>
        <v/>
      </c>
      <c r="W477">
        <f>IF(NOT(ISNUMBER(R477)),"",IF(U477="W",IF(ISNUMBER(P477),R477*(P477-1),""),IF(U477="L",-R477,IF(U477="Push",0,""))))</f>
        <v/>
      </c>
      <c r="X477" t="inlineStr">
        <is>
          <t>posted</t>
        </is>
      </c>
      <c r="Y477" t="inlineStr">
        <is>
          <t>N</t>
        </is>
      </c>
      <c r="Z477" t="inlineStr">
        <is>
          <t>https://x.com/BookitWithTrent/status/2107563609509281948</t>
        </is>
      </c>
      <c r="AA477" t="inlineStr">
        <is>
          <t>"3RD INNING BANG ✅✅"; stake not stated ("laying so much juice")</t>
        </is>
      </c>
      <c r="AB477" t="inlineStr">
        <is>
          <t>Single</t>
        </is>
      </c>
      <c r="AC477" s="5">
        <f>IF(ISNUMBER(V477),Q477,"")</f>
        <v/>
      </c>
      <c r="AD477">
        <f>IF(ISNUMBER(W477),R477,"")</f>
        <v/>
      </c>
    </row>
    <row r="478">
      <c r="A478" t="inlineStr">
        <is>
          <t>T-281948e</t>
        </is>
      </c>
      <c r="B478" t="inlineStr">
        <is>
          <t>Trent</t>
        </is>
      </c>
      <c r="C478" s="2" t="n">
        <v>46301.63072916667</v>
      </c>
      <c r="D478">
        <f>IF(C478="","",TEXT(C478,"dddd"))</f>
        <v/>
      </c>
      <c r="E478" s="3" t="n">
        <v>46301</v>
      </c>
      <c r="F478">
        <f>IF(E478="","",TEXT(E478,"dddd"))</f>
        <v/>
      </c>
      <c r="G478" t="inlineStr">
        <is>
          <t>not matched</t>
        </is>
      </c>
      <c r="H478" t="inlineStr">
        <is>
          <t>N</t>
        </is>
      </c>
      <c r="I478" t="inlineStr"/>
      <c r="J478" t="inlineStr">
        <is>
          <t>MLB</t>
        </is>
      </c>
      <c r="K478" t="inlineStr">
        <is>
          <t>MLB</t>
        </is>
      </c>
      <c r="L478" t="inlineStr">
        <is>
          <t>NRFI</t>
        </is>
      </c>
      <c r="M478" t="inlineStr">
        <is>
          <t>NRFI ladder - 4th inning no run Braves/Dodgers</t>
        </is>
      </c>
      <c r="N478" t="n">
        <v>1</v>
      </c>
      <c r="O478" t="inlineStr">
        <is>
          <t>not shown</t>
        </is>
      </c>
      <c r="P478" s="4" t="inlineStr"/>
      <c r="Q478" s="5" t="inlineStr"/>
      <c r="R478" t="inlineStr"/>
      <c r="S478" s="5" t="inlineStr"/>
      <c r="T478" t="inlineStr">
        <is>
          <t>not shown</t>
        </is>
      </c>
      <c r="U478" t="inlineStr">
        <is>
          <t>L</t>
        </is>
      </c>
      <c r="V478" s="5">
        <f>IF(NOT(ISNUMBER(Q478)),"",IF(U478="W",IF(ISNUMBER(S478),S478-Q478,IF(ISNUMBER(P478),Q478*(P478-1),"")),IF(U478="L",-Q478,IF(U478="Push",0,""))))</f>
        <v/>
      </c>
      <c r="W478">
        <f>IF(NOT(ISNUMBER(R478)),"",IF(U478="W",IF(ISNUMBER(P478),R478*(P478-1),""),IF(U478="L",-R478,IF(U478="Push",0,""))))</f>
        <v/>
      </c>
      <c r="X478" t="inlineStr">
        <is>
          <t>posted</t>
        </is>
      </c>
      <c r="Y478" t="inlineStr">
        <is>
          <t>N</t>
        </is>
      </c>
      <c r="Z478" t="inlineStr">
        <is>
          <t>https://x.com/BookitWithTrent/status/2107563609509281948</t>
        </is>
      </c>
      <c r="AA478" t="inlineStr">
        <is>
          <t>"CAN WE GET TO 4???" then "and gg"; stake not stated; loss inferred from "and gg"</t>
        </is>
      </c>
      <c r="AB478" t="inlineStr">
        <is>
          <t>Single</t>
        </is>
      </c>
      <c r="AC478" s="5">
        <f>IF(ISNUMBER(V478),Q478,"")</f>
        <v/>
      </c>
      <c r="AD478">
        <f>IF(ISNUMBER(W478),R478,"")</f>
        <v/>
      </c>
    </row>
    <row r="479">
      <c r="A479" t="inlineStr">
        <is>
          <t>S-865148</t>
        </is>
      </c>
      <c r="B479" t="inlineStr">
        <is>
          <t>Steve</t>
        </is>
      </c>
      <c r="C479" s="2" t="n">
        <v>46301.68570601852</v>
      </c>
      <c r="D479">
        <f>IF(C479="","",TEXT(C479,"dddd"))</f>
        <v/>
      </c>
      <c r="E479" s="3" t="n">
        <v>46301</v>
      </c>
      <c r="F479">
        <f>IF(E479="","",TEXT(E479,"dddd"))</f>
        <v/>
      </c>
      <c r="G479" t="inlineStr">
        <is>
          <t>9:30 PM</t>
        </is>
      </c>
      <c r="H479" t="inlineStr">
        <is>
          <t>N</t>
        </is>
      </c>
      <c r="I479" t="inlineStr"/>
      <c r="J479" t="inlineStr">
        <is>
          <t>MLB</t>
        </is>
      </c>
      <c r="K479" t="inlineStr">
        <is>
          <t>MLB</t>
        </is>
      </c>
      <c r="L479" t="inlineStr">
        <is>
          <t>parlay</t>
        </is>
      </c>
      <c r="M479" t="inlineStr">
        <is>
          <t>San Diego Padres ML vs Brewers; Atlanta Braves ML vs Dodgers</t>
        </is>
      </c>
      <c r="N479" t="n">
        <v>2</v>
      </c>
      <c r="O479" t="inlineStr">
        <is>
          <t>+230</t>
        </is>
      </c>
      <c r="P479" s="4" t="n">
        <v>3.3</v>
      </c>
      <c r="Q479" s="5" t="n">
        <v>82600</v>
      </c>
      <c r="R479" t="inlineStr"/>
      <c r="S479" s="5" t="n">
        <v>272580</v>
      </c>
      <c r="T479" t="inlineStr">
        <is>
          <t>Gamdom</t>
        </is>
      </c>
      <c r="U479" t="inlineStr">
        <is>
          <t>L</t>
        </is>
      </c>
      <c r="V479" s="5">
        <f>IF(NOT(ISNUMBER(Q479)),"",IF(U479="W",IF(ISNUMBER(S479),S479-Q479,IF(ISNUMBER(P479),Q479*(P479-1),"")),IF(U479="L",-Q479,IF(U479="Push",0,""))))</f>
        <v/>
      </c>
      <c r="W479">
        <f>IF(NOT(ISNUMBER(R479)),"",IF(U479="W",IF(ISNUMBER(P479),R479*(P479-1),""),IF(U479="L",-R479,IF(U479="Push",0,""))))</f>
        <v/>
      </c>
      <c r="X479" t="inlineStr">
        <is>
          <t>graded from final</t>
        </is>
      </c>
      <c r="Y479" t="inlineStr">
        <is>
          <t>Y - tags Gamdom</t>
        </is>
      </c>
      <c r="Z479" t="inlineStr">
        <is>
          <t>https://x.com/stevewilldoit/status/2107583529940865148</t>
        </is>
      </c>
      <c r="AA479" t="inlineStr">
        <is>
          <t>Danny "Braves padres"</t>
        </is>
      </c>
      <c r="AB479" t="inlineStr">
        <is>
          <t>Parlay/multi-leg</t>
        </is>
      </c>
      <c r="AC479" s="5">
        <f>IF(ISNUMBER(V479),Q479,"")</f>
        <v/>
      </c>
      <c r="AD479">
        <f>IF(ISNUMBER(W479),R479,"")</f>
        <v/>
      </c>
    </row>
    <row r="480">
      <c r="A480" t="inlineStr">
        <is>
          <t>S-956125</t>
        </is>
      </c>
      <c r="B480" t="inlineStr">
        <is>
          <t>Steve</t>
        </is>
      </c>
      <c r="C480" s="2" t="n">
        <v>46301.69627314815</v>
      </c>
      <c r="D480">
        <f>IF(C480="","",TEXT(C480,"dddd"))</f>
        <v/>
      </c>
      <c r="E480" s="3" t="n">
        <v>46301</v>
      </c>
      <c r="F480">
        <f>IF(E480="","",TEXT(E480,"dddd"))</f>
        <v/>
      </c>
      <c r="G480" t="inlineStr">
        <is>
          <t>6:00 PM</t>
        </is>
      </c>
      <c r="H480" t="inlineStr">
        <is>
          <t>N</t>
        </is>
      </c>
      <c r="I480" t="inlineStr"/>
      <c r="J480" t="inlineStr">
        <is>
          <t>MLB</t>
        </is>
      </c>
      <c r="K480" t="inlineStr">
        <is>
          <t>MLB</t>
        </is>
      </c>
      <c r="L480" t="inlineStr">
        <is>
          <t>total</t>
        </is>
      </c>
      <c r="M480" t="inlineStr">
        <is>
          <t>Braves/Dodgers F5 Under 3.5</t>
        </is>
      </c>
      <c r="N480" t="n">
        <v>1</v>
      </c>
      <c r="O480" t="inlineStr">
        <is>
          <t>-169</t>
        </is>
      </c>
      <c r="P480" s="4" t="n">
        <v>1.5917</v>
      </c>
      <c r="Q480" s="5" t="n">
        <v>150000</v>
      </c>
      <c r="R480" t="inlineStr"/>
      <c r="S480" s="5" t="n">
        <v>238500</v>
      </c>
      <c r="T480" t="inlineStr">
        <is>
          <t>Gamdom</t>
        </is>
      </c>
      <c r="U480" t="inlineStr">
        <is>
          <t>L</t>
        </is>
      </c>
      <c r="V480" s="5">
        <f>IF(NOT(ISNUMBER(Q480)),"",IF(U480="W",IF(ISNUMBER(S480),S480-Q480,IF(ISNUMBER(P480),Q480*(P480-1),"")),IF(U480="L",-Q480,IF(U480="Push",0,""))))</f>
        <v/>
      </c>
      <c r="W480">
        <f>IF(NOT(ISNUMBER(R480)),"",IF(U480="W",IF(ISNUMBER(P480),R480*(P480-1),""),IF(U480="L",-R480,IF(U480="Push",0,""))))</f>
        <v/>
      </c>
      <c r="X480" t="inlineStr">
        <is>
          <t>graded from final</t>
        </is>
      </c>
      <c r="Y480" t="inlineStr">
        <is>
          <t>N</t>
        </is>
      </c>
      <c r="Z480" t="inlineStr">
        <is>
          <t>https://x.com/stevewilldoit/status/2107587360317956125</t>
        </is>
      </c>
      <c r="AA480" t="inlineStr">
        <is>
          <t>AI guy "u3 f5 dodgers"</t>
        </is>
      </c>
      <c r="AB480" t="inlineStr">
        <is>
          <t>Single</t>
        </is>
      </c>
      <c r="AC480" s="5">
        <f>IF(ISNUMBER(V480),Q480,"")</f>
        <v/>
      </c>
      <c r="AD480">
        <f>IF(ISNUMBER(W480),R480,"")</f>
        <v/>
      </c>
    </row>
    <row r="481">
      <c r="A481" t="inlineStr">
        <is>
          <t>S-956125b</t>
        </is>
      </c>
      <c r="B481" t="inlineStr">
        <is>
          <t>Steve</t>
        </is>
      </c>
      <c r="C481" s="2" t="n">
        <v>46301.69627314815</v>
      </c>
      <c r="D481">
        <f>IF(C481="","",TEXT(C481,"dddd"))</f>
        <v/>
      </c>
      <c r="E481" s="3" t="n">
        <v>46301</v>
      </c>
      <c r="F481">
        <f>IF(E481="","",TEXT(E481,"dddd"))</f>
        <v/>
      </c>
      <c r="G481" t="inlineStr">
        <is>
          <t>9:30 PM</t>
        </is>
      </c>
      <c r="H481" t="inlineStr">
        <is>
          <t>N</t>
        </is>
      </c>
      <c r="I481" t="inlineStr"/>
      <c r="J481" t="inlineStr">
        <is>
          <t>MLB</t>
        </is>
      </c>
      <c r="K481" t="inlineStr">
        <is>
          <t>MLB</t>
        </is>
      </c>
      <c r="L481" t="inlineStr">
        <is>
          <t>ML</t>
        </is>
      </c>
      <c r="M481" t="inlineStr">
        <is>
          <t>San Diego Padres ML vs Milwaukee Brewers</t>
        </is>
      </c>
      <c r="N481" t="n">
        <v>1</v>
      </c>
      <c r="O481" t="inlineStr">
        <is>
          <t>-139</t>
        </is>
      </c>
      <c r="P481" s="4" t="n">
        <v>1.7194</v>
      </c>
      <c r="Q481" s="5" t="n">
        <v>100000</v>
      </c>
      <c r="R481" t="inlineStr"/>
      <c r="S481" s="5" t="n">
        <v>172000</v>
      </c>
      <c r="T481" t="inlineStr">
        <is>
          <t>Gamdom</t>
        </is>
      </c>
      <c r="U481" t="inlineStr">
        <is>
          <t>W</t>
        </is>
      </c>
      <c r="V481" s="5">
        <f>IF(NOT(ISNUMBER(Q481)),"",IF(U481="W",IF(ISNUMBER(S481),S481-Q481,IF(ISNUMBER(P481),Q481*(P481-1),"")),IF(U481="L",-Q481,IF(U481="Push",0,""))))</f>
        <v/>
      </c>
      <c r="W481">
        <f>IF(NOT(ISNUMBER(R481)),"",IF(U481="W",IF(ISNUMBER(P481),R481*(P481-1),""),IF(U481="L",-R481,IF(U481="Push",0,""))))</f>
        <v/>
      </c>
      <c r="X481" t="inlineStr">
        <is>
          <t>graded from final</t>
        </is>
      </c>
      <c r="Y481" t="inlineStr">
        <is>
          <t>N</t>
        </is>
      </c>
      <c r="Z481" t="inlineStr">
        <is>
          <t>https://x.com/stevewilldoit/status/2107587360317956125</t>
        </is>
      </c>
      <c r="AA481" t="inlineStr">
        <is>
          <t>Shown in chat screenshot in 956125</t>
        </is>
      </c>
      <c r="AB481" t="inlineStr">
        <is>
          <t>Single</t>
        </is>
      </c>
      <c r="AC481" s="5">
        <f>IF(ISNUMBER(V481),Q481,"")</f>
        <v/>
      </c>
      <c r="AD481">
        <f>IF(ISNUMBER(W481),R481,"")</f>
        <v/>
      </c>
    </row>
    <row r="482">
      <c r="A482" t="inlineStr">
        <is>
          <t>T-480825a</t>
        </is>
      </c>
      <c r="B482" t="inlineStr">
        <is>
          <t>Trent</t>
        </is>
      </c>
      <c r="C482" s="2" t="n">
        <v>46301.78083333333</v>
      </c>
      <c r="D482">
        <f>IF(C482="","",TEXT(C482,"dddd"))</f>
        <v/>
      </c>
      <c r="E482" s="3" t="n">
        <v>46301</v>
      </c>
      <c r="F482">
        <f>IF(E482="","",TEXT(E482,"dddd"))</f>
        <v/>
      </c>
      <c r="G482" t="inlineStr">
        <is>
          <t>8:00 PM</t>
        </is>
      </c>
      <c r="H482" t="inlineStr">
        <is>
          <t>Y</t>
        </is>
      </c>
      <c r="I482" t="inlineStr">
        <is>
          <t>CFB weeknight (Tue-Fri)</t>
        </is>
      </c>
      <c r="J482" t="inlineStr">
        <is>
          <t>CFB</t>
        </is>
      </c>
      <c r="K482" t="inlineStr">
        <is>
          <t>NCAAF</t>
        </is>
      </c>
      <c r="L482" t="inlineStr">
        <is>
          <t>spread</t>
        </is>
      </c>
      <c r="M482" t="inlineStr">
        <is>
          <t>Troy -10</t>
        </is>
      </c>
      <c r="N482" t="n">
        <v>1</v>
      </c>
      <c r="O482" t="inlineStr">
        <is>
          <t>not shown</t>
        </is>
      </c>
      <c r="P482" s="4" t="inlineStr"/>
      <c r="Q482" s="5" t="inlineStr"/>
      <c r="R482" t="inlineStr"/>
      <c r="S482" s="5" t="inlineStr"/>
      <c r="T482" t="inlineStr">
        <is>
          <t>not shown</t>
        </is>
      </c>
      <c r="U482" t="inlineStr">
        <is>
          <t>W</t>
        </is>
      </c>
      <c r="V482" s="5">
        <f>IF(NOT(ISNUMBER(Q482)),"",IF(U482="W",IF(ISNUMBER(S482),S482-Q482,IF(ISNUMBER(P482),Q482*(P482-1),"")),IF(U482="L",-Q482,IF(U482="Push",0,""))))</f>
        <v/>
      </c>
      <c r="W482">
        <f>IF(NOT(ISNUMBER(R482)),"",IF(U482="W",IF(ISNUMBER(P482),R482*(P482-1),""),IF(U482="L",-R482,IF(U482="Push",0,""))))</f>
        <v/>
      </c>
      <c r="X482" t="inlineStr">
        <is>
          <t>graded from final</t>
        </is>
      </c>
      <c r="Y482" t="inlineStr">
        <is>
          <t>N</t>
        </is>
      </c>
      <c r="Z482" t="inlineStr">
        <is>
          <t>https://x.com/BookitWithTrent/status/2107618004414480825</t>
        </is>
      </c>
      <c r="AA482" t="inlineStr">
        <is>
          <t>"3 Late Night Whales"; units not stated</t>
        </is>
      </c>
      <c r="AB482" t="inlineStr">
        <is>
          <t>Single</t>
        </is>
      </c>
      <c r="AC482" s="5">
        <f>IF(ISNUMBER(V482),Q482,"")</f>
        <v/>
      </c>
      <c r="AD482">
        <f>IF(ISNUMBER(W482),R482,"")</f>
        <v/>
      </c>
    </row>
    <row r="483">
      <c r="A483" t="inlineStr">
        <is>
          <t>T-480825b</t>
        </is>
      </c>
      <c r="B483" t="inlineStr">
        <is>
          <t>Trent</t>
        </is>
      </c>
      <c r="C483" s="2" t="n">
        <v>46301.78083333333</v>
      </c>
      <c r="D483">
        <f>IF(C483="","",TEXT(C483,"dddd"))</f>
        <v/>
      </c>
      <c r="E483" s="3" t="n">
        <v>46301</v>
      </c>
      <c r="F483">
        <f>IF(E483="","",TEXT(E483,"dddd"))</f>
        <v/>
      </c>
      <c r="G483" t="inlineStr">
        <is>
          <t>9:30 PM</t>
        </is>
      </c>
      <c r="H483" t="inlineStr">
        <is>
          <t>N</t>
        </is>
      </c>
      <c r="I483" t="inlineStr"/>
      <c r="J483" t="inlineStr">
        <is>
          <t>MLB</t>
        </is>
      </c>
      <c r="K483" t="inlineStr">
        <is>
          <t>MLB</t>
        </is>
      </c>
      <c r="L483" t="inlineStr">
        <is>
          <t>ML</t>
        </is>
      </c>
      <c r="M483" t="inlineStr">
        <is>
          <t>Milwaukee Brewers ML vs Padres</t>
        </is>
      </c>
      <c r="N483" t="n">
        <v>1</v>
      </c>
      <c r="O483" t="inlineStr">
        <is>
          <t>not shown</t>
        </is>
      </c>
      <c r="P483" s="4" t="inlineStr"/>
      <c r="Q483" s="5" t="inlineStr"/>
      <c r="R483" t="inlineStr"/>
      <c r="S483" s="5" t="inlineStr"/>
      <c r="T483" t="inlineStr">
        <is>
          <t>not shown</t>
        </is>
      </c>
      <c r="U483" t="inlineStr">
        <is>
          <t>L</t>
        </is>
      </c>
      <c r="V483" s="5">
        <f>IF(NOT(ISNUMBER(Q483)),"",IF(U483="W",IF(ISNUMBER(S483),S483-Q483,IF(ISNUMBER(P483),Q483*(P483-1),"")),IF(U483="L",-Q483,IF(U483="Push",0,""))))</f>
        <v/>
      </c>
      <c r="W483">
        <f>IF(NOT(ISNUMBER(R483)),"",IF(U483="W",IF(ISNUMBER(P483),R483*(P483-1),""),IF(U483="L",-R483,IF(U483="Push",0,""))))</f>
        <v/>
      </c>
      <c r="X483" t="inlineStr">
        <is>
          <t>graded from final</t>
        </is>
      </c>
      <c r="Y483" t="inlineStr">
        <is>
          <t>N</t>
        </is>
      </c>
      <c r="Z483" t="inlineStr">
        <is>
          <t>https://x.com/BookitWithTrent/status/2107618004414480825</t>
        </is>
      </c>
      <c r="AA483" t="inlineStr">
        <is>
          <t>"3 Late Night Whales"</t>
        </is>
      </c>
      <c r="AB483" t="inlineStr">
        <is>
          <t>Single</t>
        </is>
      </c>
      <c r="AC483" s="5">
        <f>IF(ISNUMBER(V483),Q483,"")</f>
        <v/>
      </c>
      <c r="AD483">
        <f>IF(ISNUMBER(W483),R483,"")</f>
        <v/>
      </c>
    </row>
    <row r="484">
      <c r="A484" t="inlineStr">
        <is>
          <t>T-480825c</t>
        </is>
      </c>
      <c r="B484" t="inlineStr">
        <is>
          <t>Trent</t>
        </is>
      </c>
      <c r="C484" s="2" t="n">
        <v>46301.78083333333</v>
      </c>
      <c r="D484">
        <f>IF(C484="","",TEXT(C484,"dddd"))</f>
        <v/>
      </c>
      <c r="E484" s="3" t="n">
        <v>46301</v>
      </c>
      <c r="F484">
        <f>IF(E484="","",TEXT(E484,"dddd"))</f>
        <v/>
      </c>
      <c r="G484" t="inlineStr">
        <is>
          <t>not matched</t>
        </is>
      </c>
      <c r="H484" t="inlineStr">
        <is>
          <t>N</t>
        </is>
      </c>
      <c r="I484" t="inlineStr"/>
      <c r="J484" t="inlineStr">
        <is>
          <t>Other</t>
        </is>
      </c>
      <c r="K484" t="inlineStr">
        <is>
          <t>NHL</t>
        </is>
      </c>
      <c r="L484" t="inlineStr">
        <is>
          <t>ML</t>
        </is>
      </c>
      <c r="M484" t="inlineStr">
        <is>
          <t>Chicago Blackhawks ML</t>
        </is>
      </c>
      <c r="N484" t="n">
        <v>1</v>
      </c>
      <c r="O484" t="inlineStr">
        <is>
          <t>not shown</t>
        </is>
      </c>
      <c r="P484" s="4" t="inlineStr"/>
      <c r="Q484" s="5" t="inlineStr"/>
      <c r="R484" t="inlineStr"/>
      <c r="S484" s="5" t="inlineStr"/>
      <c r="T484" t="inlineStr">
        <is>
          <t>not shown</t>
        </is>
      </c>
      <c r="U484" t="inlineStr">
        <is>
          <t>W</t>
        </is>
      </c>
      <c r="V484" s="5">
        <f>IF(NOT(ISNUMBER(Q484)),"",IF(U484="W",IF(ISNUMBER(S484),S484-Q484,IF(ISNUMBER(P484),Q484*(P484-1),"")),IF(U484="L",-Q484,IF(U484="Push",0,""))))</f>
        <v/>
      </c>
      <c r="W484">
        <f>IF(NOT(ISNUMBER(R484)),"",IF(U484="W",IF(ISNUMBER(P484),R484*(P484-1),""),IF(U484="L",-R484,IF(U484="Push",0,""))))</f>
        <v/>
      </c>
      <c r="X484" t="inlineStr">
        <is>
          <t>graded from final</t>
        </is>
      </c>
      <c r="Y484" t="inlineStr">
        <is>
          <t>N</t>
        </is>
      </c>
      <c r="Z484" t="inlineStr">
        <is>
          <t>https://x.com/BookitWithTrent/status/2107618004414480825</t>
        </is>
      </c>
      <c r="AA484" t="inlineStr">
        <is>
          <t>"3 Late Night Whales"; Final: CHI 4-2 STL</t>
        </is>
      </c>
      <c r="AB484" t="inlineStr">
        <is>
          <t>Single</t>
        </is>
      </c>
      <c r="AC484" s="5">
        <f>IF(ISNUMBER(V484),Q484,"")</f>
        <v/>
      </c>
      <c r="AD484">
        <f>IF(ISNUMBER(W484),R484,"")</f>
        <v/>
      </c>
    </row>
    <row r="485">
      <c r="A485" t="inlineStr">
        <is>
          <t>S-017949</t>
        </is>
      </c>
      <c r="B485" t="inlineStr">
        <is>
          <t>Steve</t>
        </is>
      </c>
      <c r="C485" s="2" t="n">
        <v>46302.44008101852</v>
      </c>
      <c r="D485">
        <f>IF(C485="","",TEXT(C485,"dddd"))</f>
        <v/>
      </c>
      <c r="E485" s="3" t="n">
        <v>46302</v>
      </c>
      <c r="F485">
        <f>IF(E485="","",TEXT(E485,"dddd"))</f>
        <v/>
      </c>
      <c r="G485" t="inlineStr">
        <is>
          <t>8:00 PM</t>
        </is>
      </c>
      <c r="H485" t="inlineStr">
        <is>
          <t>N</t>
        </is>
      </c>
      <c r="I485" t="inlineStr"/>
      <c r="J485" t="inlineStr">
        <is>
          <t>MLB</t>
        </is>
      </c>
      <c r="K485" t="inlineStr">
        <is>
          <t>MLB</t>
        </is>
      </c>
      <c r="L485" t="inlineStr">
        <is>
          <t>parlay</t>
        </is>
      </c>
      <c r="M485" t="inlineStr">
        <is>
          <t>Chicago White Sox ML vs Guardians; Tampa Bay Rays +1.0 vs Yankees</t>
        </is>
      </c>
      <c r="N485" t="n">
        <v>2</v>
      </c>
      <c r="O485" t="inlineStr">
        <is>
          <t>+240</t>
        </is>
      </c>
      <c r="P485" s="4" t="n">
        <v>3.4</v>
      </c>
      <c r="Q485" s="5" t="n">
        <v>50000</v>
      </c>
      <c r="R485" t="inlineStr"/>
      <c r="S485" s="5" t="n">
        <v>170000</v>
      </c>
      <c r="T485" t="inlineStr">
        <is>
          <t>Gamdom</t>
        </is>
      </c>
      <c r="U485" t="inlineStr">
        <is>
          <t>L</t>
        </is>
      </c>
      <c r="V485" s="5">
        <f>IF(NOT(ISNUMBER(Q485)),"",IF(U485="W",IF(ISNUMBER(S485),S485-Q485,IF(ISNUMBER(P485),Q485*(P485-1),"")),IF(U485="L",-Q485,IF(U485="Push",0,""))))</f>
        <v/>
      </c>
      <c r="W485">
        <f>IF(NOT(ISNUMBER(R485)),"",IF(U485="W",IF(ISNUMBER(P485),R485*(P485-1),""),IF(U485="L",-R485,IF(U485="Push",0,""))))</f>
        <v/>
      </c>
      <c r="X485" t="inlineStr">
        <is>
          <t>graded from final</t>
        </is>
      </c>
      <c r="Y485" t="inlineStr">
        <is>
          <t>Y - tags Gamdom</t>
        </is>
      </c>
      <c r="Z485" t="inlineStr">
        <is>
          <t>https://x.com/stevewilldoit/status/2107856906266017949</t>
        </is>
      </c>
      <c r="AA485" t="inlineStr">
        <is>
          <t>"this is MY pick for today"</t>
        </is>
      </c>
      <c r="AB485" t="inlineStr">
        <is>
          <t>Parlay/multi-leg</t>
        </is>
      </c>
      <c r="AC485" s="5">
        <f>IF(ISNUMBER(V485),Q485,"")</f>
        <v/>
      </c>
      <c r="AD485">
        <f>IF(ISNUMBER(W485),R485,"")</f>
        <v/>
      </c>
    </row>
    <row r="486">
      <c r="A486" t="inlineStr">
        <is>
          <t>S-672061</t>
        </is>
      </c>
      <c r="B486" t="inlineStr">
        <is>
          <t>Steve</t>
        </is>
      </c>
      <c r="C486" s="2" t="n">
        <v>46302.44149305556</v>
      </c>
      <c r="D486">
        <f>IF(C486="","",TEXT(C486,"dddd"))</f>
        <v/>
      </c>
      <c r="E486" s="3" t="n">
        <v>46302</v>
      </c>
      <c r="F486">
        <f>IF(E486="","",TEXT(E486,"dddd"))</f>
        <v/>
      </c>
      <c r="G486" t="inlineStr">
        <is>
          <t>4:00 PM</t>
        </is>
      </c>
      <c r="H486" t="inlineStr">
        <is>
          <t>N</t>
        </is>
      </c>
      <c r="I486" t="inlineStr"/>
      <c r="J486" t="inlineStr">
        <is>
          <t>MLB</t>
        </is>
      </c>
      <c r="K486" t="inlineStr">
        <is>
          <t>MLB</t>
        </is>
      </c>
      <c r="L486" t="inlineStr">
        <is>
          <t>ML</t>
        </is>
      </c>
      <c r="M486" t="inlineStr">
        <is>
          <t>Chicago White Sox ML vs Cleveland Guardians</t>
        </is>
      </c>
      <c r="N486" t="n">
        <v>1</v>
      </c>
      <c r="O486" t="inlineStr">
        <is>
          <t>-128</t>
        </is>
      </c>
      <c r="P486" s="4" t="n">
        <v>1.7812</v>
      </c>
      <c r="Q486" s="5" t="n">
        <v>100000</v>
      </c>
      <c r="R486" t="inlineStr"/>
      <c r="S486" s="5" t="n">
        <v>178000</v>
      </c>
      <c r="T486" t="inlineStr">
        <is>
          <t>Gamdom</t>
        </is>
      </c>
      <c r="U486" t="inlineStr">
        <is>
          <t>L</t>
        </is>
      </c>
      <c r="V486" s="5">
        <f>IF(NOT(ISNUMBER(Q486)),"",IF(U486="W",IF(ISNUMBER(S486),S486-Q486,IF(ISNUMBER(P486),Q486*(P486-1),"")),IF(U486="L",-Q486,IF(U486="Push",0,""))))</f>
        <v/>
      </c>
      <c r="W486">
        <f>IF(NOT(ISNUMBER(R486)),"",IF(U486="W",IF(ISNUMBER(P486),R486*(P486-1),""),IF(U486="L",-R486,IF(U486="Push",0,""))))</f>
        <v/>
      </c>
      <c r="X486" t="inlineStr">
        <is>
          <t>graded from final</t>
        </is>
      </c>
      <c r="Y486" t="inlineStr">
        <is>
          <t>Y - tags Gamdom</t>
        </is>
      </c>
      <c r="Z486" t="inlineStr">
        <is>
          <t>https://x.com/stevewilldoit/status/2107857419250672061</t>
        </is>
      </c>
      <c r="AA486" t="inlineStr">
        <is>
          <t>"Mexican Steve"</t>
        </is>
      </c>
      <c r="AB486" t="inlineStr">
        <is>
          <t>Single</t>
        </is>
      </c>
      <c r="AC486" s="5">
        <f>IF(ISNUMBER(V486),Q486,"")</f>
        <v/>
      </c>
      <c r="AD486">
        <f>IF(ISNUMBER(W486),R486,"")</f>
        <v/>
      </c>
    </row>
    <row r="487">
      <c r="A487" t="inlineStr">
        <is>
          <t>T-728964a</t>
        </is>
      </c>
      <c r="B487" t="inlineStr">
        <is>
          <t>Trent</t>
        </is>
      </c>
      <c r="C487" s="2" t="n">
        <v>46302.47119212963</v>
      </c>
      <c r="D487">
        <f>IF(C487="","",TEXT(C487,"dddd"))</f>
        <v/>
      </c>
      <c r="E487" s="3" t="n">
        <v>46302</v>
      </c>
      <c r="F487">
        <f>IF(E487="","",TEXT(E487,"dddd"))</f>
        <v/>
      </c>
      <c r="G487" t="inlineStr">
        <is>
          <t>4:00 PM</t>
        </is>
      </c>
      <c r="H487" t="inlineStr">
        <is>
          <t>N</t>
        </is>
      </c>
      <c r="I487" t="inlineStr"/>
      <c r="J487" t="inlineStr">
        <is>
          <t>MLB</t>
        </is>
      </c>
      <c r="K487" t="inlineStr">
        <is>
          <t>MLB</t>
        </is>
      </c>
      <c r="L487" t="inlineStr">
        <is>
          <t>ML</t>
        </is>
      </c>
      <c r="M487" t="inlineStr">
        <is>
          <t>Chicago White Sox ML vs Guardians (ALDS)</t>
        </is>
      </c>
      <c r="N487" t="n">
        <v>1</v>
      </c>
      <c r="O487" t="inlineStr">
        <is>
          <t>not shown</t>
        </is>
      </c>
      <c r="P487" s="4" t="inlineStr"/>
      <c r="Q487" s="5" t="inlineStr"/>
      <c r="R487" t="n">
        <v>2</v>
      </c>
      <c r="S487" s="5" t="inlineStr"/>
      <c r="T487" t="inlineStr">
        <is>
          <t>not shown</t>
        </is>
      </c>
      <c r="U487" t="inlineStr">
        <is>
          <t>L</t>
        </is>
      </c>
      <c r="V487" s="5">
        <f>IF(NOT(ISNUMBER(Q487)),"",IF(U487="W",IF(ISNUMBER(S487),S487-Q487,IF(ISNUMBER(P487),Q487*(P487-1),"")),IF(U487="L",-Q487,IF(U487="Push",0,""))))</f>
        <v/>
      </c>
      <c r="W487">
        <f>IF(NOT(ISNUMBER(R487)),"",IF(U487="W",IF(ISNUMBER(P487),R487*(P487-1),""),IF(U487="L",-R487,IF(U487="Push",0,""))))</f>
        <v/>
      </c>
      <c r="X487" t="inlineStr">
        <is>
          <t>graded from final</t>
        </is>
      </c>
      <c r="Y487" t="inlineStr">
        <is>
          <t>N</t>
        </is>
      </c>
      <c r="Z487" t="inlineStr">
        <is>
          <t>https://x.com/BookitWithTrent/status/2107868183524728964</t>
        </is>
      </c>
      <c r="AA487" t="inlineStr">
        <is>
          <t>"MLB PLAYOFF SCRIPT" 2u each</t>
        </is>
      </c>
      <c r="AB487" t="inlineStr">
        <is>
          <t>Single</t>
        </is>
      </c>
      <c r="AC487" s="5">
        <f>IF(ISNUMBER(V487),Q487,"")</f>
        <v/>
      </c>
      <c r="AD487">
        <f>IF(ISNUMBER(W487),R487,"")</f>
        <v/>
      </c>
    </row>
    <row r="488">
      <c r="A488" t="inlineStr">
        <is>
          <t>T-728964b</t>
        </is>
      </c>
      <c r="B488" t="inlineStr">
        <is>
          <t>Trent</t>
        </is>
      </c>
      <c r="C488" s="2" t="n">
        <v>46302.47119212963</v>
      </c>
      <c r="D488">
        <f>IF(C488="","",TEXT(C488,"dddd"))</f>
        <v/>
      </c>
      <c r="E488" s="3" t="n">
        <v>46302</v>
      </c>
      <c r="F488">
        <f>IF(E488="","",TEXT(E488,"dddd"))</f>
        <v/>
      </c>
      <c r="G488" t="inlineStr">
        <is>
          <t>6:00 PM</t>
        </is>
      </c>
      <c r="H488" t="inlineStr">
        <is>
          <t>N</t>
        </is>
      </c>
      <c r="I488" t="inlineStr"/>
      <c r="J488" t="inlineStr">
        <is>
          <t>MLB</t>
        </is>
      </c>
      <c r="K488" t="inlineStr">
        <is>
          <t>MLB</t>
        </is>
      </c>
      <c r="L488" t="inlineStr">
        <is>
          <t>ML</t>
        </is>
      </c>
      <c r="M488" t="inlineStr">
        <is>
          <t>LA Dodgers ML vs Braves (NLDS)</t>
        </is>
      </c>
      <c r="N488" t="n">
        <v>1</v>
      </c>
      <c r="O488" t="inlineStr">
        <is>
          <t>not shown</t>
        </is>
      </c>
      <c r="P488" s="4" t="inlineStr"/>
      <c r="Q488" s="5" t="inlineStr"/>
      <c r="R488" t="n">
        <v>2</v>
      </c>
      <c r="S488" s="5" t="inlineStr"/>
      <c r="T488" t="inlineStr">
        <is>
          <t>not shown</t>
        </is>
      </c>
      <c r="U488" t="inlineStr">
        <is>
          <t>W</t>
        </is>
      </c>
      <c r="V488" s="5">
        <f>IF(NOT(ISNUMBER(Q488)),"",IF(U488="W",IF(ISNUMBER(S488),S488-Q488,IF(ISNUMBER(P488),Q488*(P488-1),"")),IF(U488="L",-Q488,IF(U488="Push",0,""))))</f>
        <v/>
      </c>
      <c r="W488">
        <f>IF(NOT(ISNUMBER(R488)),"",IF(U488="W",IF(ISNUMBER(P488),R488*(P488-1),""),IF(U488="L",-R488,IF(U488="Push",0,""))))</f>
        <v/>
      </c>
      <c r="X488" t="inlineStr">
        <is>
          <t>graded from final</t>
        </is>
      </c>
      <c r="Y488" t="inlineStr">
        <is>
          <t>N</t>
        </is>
      </c>
      <c r="Z488" t="inlineStr">
        <is>
          <t>https://x.com/BookitWithTrent/status/2107868183524728964</t>
        </is>
      </c>
      <c r="AA488" t="inlineStr">
        <is>
          <t>"MLB PLAYOFF SCRIPT" 2u</t>
        </is>
      </c>
      <c r="AB488" t="inlineStr">
        <is>
          <t>Single</t>
        </is>
      </c>
      <c r="AC488" s="5">
        <f>IF(ISNUMBER(V488),Q488,"")</f>
        <v/>
      </c>
      <c r="AD488">
        <f>IF(ISNUMBER(W488),R488,"")</f>
        <v/>
      </c>
    </row>
    <row r="489">
      <c r="A489" t="inlineStr">
        <is>
          <t>T-728964c</t>
        </is>
      </c>
      <c r="B489" t="inlineStr">
        <is>
          <t>Trent</t>
        </is>
      </c>
      <c r="C489" s="2" t="n">
        <v>46302.47119212963</v>
      </c>
      <c r="D489">
        <f>IF(C489="","",TEXT(C489,"dddd"))</f>
        <v/>
      </c>
      <c r="E489" s="3" t="n">
        <v>46302</v>
      </c>
      <c r="F489">
        <f>IF(E489="","",TEXT(E489,"dddd"))</f>
        <v/>
      </c>
      <c r="G489" t="inlineStr">
        <is>
          <t>8:00 PM</t>
        </is>
      </c>
      <c r="H489" t="inlineStr">
        <is>
          <t>N</t>
        </is>
      </c>
      <c r="I489" t="inlineStr"/>
      <c r="J489" t="inlineStr">
        <is>
          <t>MLB</t>
        </is>
      </c>
      <c r="K489" t="inlineStr">
        <is>
          <t>MLB</t>
        </is>
      </c>
      <c r="L489" t="inlineStr">
        <is>
          <t>ML</t>
        </is>
      </c>
      <c r="M489" t="inlineStr">
        <is>
          <t>Tampa Bay Rays ML vs Yankees (ALDS)</t>
        </is>
      </c>
      <c r="N489" t="n">
        <v>1</v>
      </c>
      <c r="O489" t="inlineStr">
        <is>
          <t>not shown</t>
        </is>
      </c>
      <c r="P489" s="4" t="inlineStr"/>
      <c r="Q489" s="5" t="inlineStr"/>
      <c r="R489" t="n">
        <v>2</v>
      </c>
      <c r="S489" s="5" t="inlineStr"/>
      <c r="T489" t="inlineStr">
        <is>
          <t>not shown</t>
        </is>
      </c>
      <c r="U489" t="inlineStr">
        <is>
          <t>W</t>
        </is>
      </c>
      <c r="V489" s="5">
        <f>IF(NOT(ISNUMBER(Q489)),"",IF(U489="W",IF(ISNUMBER(S489),S489-Q489,IF(ISNUMBER(P489),Q489*(P489-1),"")),IF(U489="L",-Q489,IF(U489="Push",0,""))))</f>
        <v/>
      </c>
      <c r="W489">
        <f>IF(NOT(ISNUMBER(R489)),"",IF(U489="W",IF(ISNUMBER(P489),R489*(P489-1),""),IF(U489="L",-R489,IF(U489="Push",0,""))))</f>
        <v/>
      </c>
      <c r="X489" t="inlineStr">
        <is>
          <t>graded from final</t>
        </is>
      </c>
      <c r="Y489" t="inlineStr">
        <is>
          <t>N</t>
        </is>
      </c>
      <c r="Z489" t="inlineStr">
        <is>
          <t>https://x.com/BookitWithTrent/status/2107868183524728964</t>
        </is>
      </c>
      <c r="AA489" t="inlineStr">
        <is>
          <t>"MLB PLAYOFF SCRIPT" 2u</t>
        </is>
      </c>
      <c r="AB489" t="inlineStr">
        <is>
          <t>Single</t>
        </is>
      </c>
      <c r="AC489" s="5">
        <f>IF(ISNUMBER(V489),Q489,"")</f>
        <v/>
      </c>
      <c r="AD489">
        <f>IF(ISNUMBER(W489),R489,"")</f>
        <v/>
      </c>
    </row>
    <row r="490">
      <c r="A490" t="inlineStr">
        <is>
          <t>T-728964d</t>
        </is>
      </c>
      <c r="B490" t="inlineStr">
        <is>
          <t>Trent</t>
        </is>
      </c>
      <c r="C490" s="2" t="n">
        <v>46302.47119212963</v>
      </c>
      <c r="D490">
        <f>IF(C490="","",TEXT(C490,"dddd"))</f>
        <v/>
      </c>
      <c r="E490" s="3" t="n">
        <v>46302</v>
      </c>
      <c r="F490">
        <f>IF(E490="","",TEXT(E490,"dddd"))</f>
        <v/>
      </c>
      <c r="G490" t="inlineStr">
        <is>
          <t>10:00 PM</t>
        </is>
      </c>
      <c r="H490" t="inlineStr">
        <is>
          <t>N</t>
        </is>
      </c>
      <c r="I490" t="inlineStr"/>
      <c r="J490" t="inlineStr">
        <is>
          <t>MLB</t>
        </is>
      </c>
      <c r="K490" t="inlineStr">
        <is>
          <t>MLB</t>
        </is>
      </c>
      <c r="L490" t="inlineStr">
        <is>
          <t>ML</t>
        </is>
      </c>
      <c r="M490" t="inlineStr">
        <is>
          <t>Milwaukee Brewers ML vs Padres (NLDS)</t>
        </is>
      </c>
      <c r="N490" t="n">
        <v>1</v>
      </c>
      <c r="O490" t="inlineStr">
        <is>
          <t>not shown</t>
        </is>
      </c>
      <c r="P490" s="4" t="inlineStr"/>
      <c r="Q490" s="5" t="inlineStr"/>
      <c r="R490" t="n">
        <v>2</v>
      </c>
      <c r="S490" s="5" t="inlineStr"/>
      <c r="T490" t="inlineStr">
        <is>
          <t>not shown</t>
        </is>
      </c>
      <c r="U490" t="inlineStr">
        <is>
          <t>W</t>
        </is>
      </c>
      <c r="V490" s="5">
        <f>IF(NOT(ISNUMBER(Q490)),"",IF(U490="W",IF(ISNUMBER(S490),S490-Q490,IF(ISNUMBER(P490),Q490*(P490-1),"")),IF(U490="L",-Q490,IF(U490="Push",0,""))))</f>
        <v/>
      </c>
      <c r="W490">
        <f>IF(NOT(ISNUMBER(R490)),"",IF(U490="W",IF(ISNUMBER(P490),R490*(P490-1),""),IF(U490="L",-R490,IF(U490="Push",0,""))))</f>
        <v/>
      </c>
      <c r="X490" t="inlineStr">
        <is>
          <t>graded from final</t>
        </is>
      </c>
      <c r="Y490" t="inlineStr">
        <is>
          <t>N</t>
        </is>
      </c>
      <c r="Z490" t="inlineStr">
        <is>
          <t>https://x.com/BookitWithTrent/status/2107868183524728964</t>
        </is>
      </c>
      <c r="AA490" t="inlineStr">
        <is>
          <t>"MLB PLAYOFF SCRIPT" 2u</t>
        </is>
      </c>
      <c r="AB490" t="inlineStr">
        <is>
          <t>Single</t>
        </is>
      </c>
      <c r="AC490" s="5">
        <f>IF(ISNUMBER(V490),Q490,"")</f>
        <v/>
      </c>
      <c r="AD490">
        <f>IF(ISNUMBER(W490),R490,"")</f>
        <v/>
      </c>
    </row>
    <row r="491">
      <c r="A491" t="inlineStr">
        <is>
          <t>S-744495</t>
        </is>
      </c>
      <c r="B491" t="inlineStr">
        <is>
          <t>Steve</t>
        </is>
      </c>
      <c r="C491" s="2" t="n">
        <v>46302.4712037037</v>
      </c>
      <c r="D491">
        <f>IF(C491="","",TEXT(C491,"dddd"))</f>
        <v/>
      </c>
      <c r="E491" s="3" t="n">
        <v>46302</v>
      </c>
      <c r="F491">
        <f>IF(E491="","",TEXT(E491,"dddd"))</f>
        <v/>
      </c>
      <c r="G491" t="inlineStr">
        <is>
          <t>8:00 PM</t>
        </is>
      </c>
      <c r="H491" t="inlineStr">
        <is>
          <t>N</t>
        </is>
      </c>
      <c r="I491" t="inlineStr"/>
      <c r="J491" t="inlineStr">
        <is>
          <t>MLB</t>
        </is>
      </c>
      <c r="K491" t="inlineStr">
        <is>
          <t>MLB</t>
        </is>
      </c>
      <c r="L491" t="inlineStr">
        <is>
          <t>parlay</t>
        </is>
      </c>
      <c r="M491" t="inlineStr">
        <is>
          <t>Chicago White Sox ML vs Guardians; Tampa Bay Rays +1.0 vs Yankees; LA Dodgers ML vs Braves</t>
        </is>
      </c>
      <c r="N491" t="n">
        <v>3</v>
      </c>
      <c r="O491" t="inlineStr">
        <is>
          <t>+458</t>
        </is>
      </c>
      <c r="P491" s="4" t="n">
        <v>5.58</v>
      </c>
      <c r="Q491" s="5" t="n">
        <v>50000</v>
      </c>
      <c r="R491" t="inlineStr"/>
      <c r="S491" s="5" t="n">
        <v>279000</v>
      </c>
      <c r="T491" t="inlineStr">
        <is>
          <t>Gamdom</t>
        </is>
      </c>
      <c r="U491" t="inlineStr">
        <is>
          <t>L</t>
        </is>
      </c>
      <c r="V491" s="5">
        <f>IF(NOT(ISNUMBER(Q491)),"",IF(U491="W",IF(ISNUMBER(S491),S491-Q491,IF(ISNUMBER(P491),Q491*(P491-1),"")),IF(U491="L",-Q491,IF(U491="Push",0,""))))</f>
        <v/>
      </c>
      <c r="W491">
        <f>IF(NOT(ISNUMBER(R491)),"",IF(U491="W",IF(ISNUMBER(P491),R491*(P491-1),""),IF(U491="L",-R491,IF(U491="Push",0,""))))</f>
        <v/>
      </c>
      <c r="X491" t="inlineStr">
        <is>
          <t>graded from final</t>
        </is>
      </c>
      <c r="Y491" t="inlineStr">
        <is>
          <t>Y - tags Gamdom</t>
        </is>
      </c>
      <c r="Z491" t="inlineStr">
        <is>
          <t>https://x.com/stevewilldoit/status/2107868184187744495</t>
        </is>
      </c>
      <c r="AA491" t="inlineStr">
        <is>
          <t>"Steve picks"</t>
        </is>
      </c>
      <c r="AB491" t="inlineStr">
        <is>
          <t>Parlay/multi-leg</t>
        </is>
      </c>
      <c r="AC491" s="5">
        <f>IF(ISNUMBER(V491),Q491,"")</f>
        <v/>
      </c>
      <c r="AD491">
        <f>IF(ISNUMBER(W491),R491,"")</f>
        <v/>
      </c>
    </row>
    <row r="492">
      <c r="A492" t="inlineStr">
        <is>
          <t>S-744495b</t>
        </is>
      </c>
      <c r="B492" t="inlineStr">
        <is>
          <t>Steve</t>
        </is>
      </c>
      <c r="C492" s="2" t="n">
        <v>46302.4712037037</v>
      </c>
      <c r="D492">
        <f>IF(C492="","",TEXT(C492,"dddd"))</f>
        <v/>
      </c>
      <c r="E492" s="3" t="n">
        <v>46302</v>
      </c>
      <c r="F492">
        <f>IF(E492="","",TEXT(E492,"dddd"))</f>
        <v/>
      </c>
      <c r="G492" t="inlineStr">
        <is>
          <t>6:00 PM</t>
        </is>
      </c>
      <c r="H492" t="inlineStr">
        <is>
          <t>N</t>
        </is>
      </c>
      <c r="I492" t="inlineStr"/>
      <c r="J492" t="inlineStr">
        <is>
          <t>MLB</t>
        </is>
      </c>
      <c r="K492" t="inlineStr">
        <is>
          <t>MLB</t>
        </is>
      </c>
      <c r="L492" t="inlineStr">
        <is>
          <t>total</t>
        </is>
      </c>
      <c r="M492" t="inlineStr">
        <is>
          <t>Braves/Dodgers Under 7.5</t>
        </is>
      </c>
      <c r="N492" t="n">
        <v>1</v>
      </c>
      <c r="O492" t="inlineStr">
        <is>
          <t>+109</t>
        </is>
      </c>
      <c r="P492" s="4" t="n">
        <v>2.09</v>
      </c>
      <c r="Q492" s="5" t="n">
        <v>100000</v>
      </c>
      <c r="R492" t="inlineStr"/>
      <c r="S492" s="5" t="n">
        <v>192000</v>
      </c>
      <c r="T492" t="inlineStr">
        <is>
          <t>Gamdom</t>
        </is>
      </c>
      <c r="U492" t="inlineStr">
        <is>
          <t>W</t>
        </is>
      </c>
      <c r="V492" s="5">
        <f>IF(NOT(ISNUMBER(Q492)),"",IF(U492="W",IF(ISNUMBER(S492),S492-Q492,IF(ISNUMBER(P492),Q492*(P492-1),"")),IF(U492="L",-Q492,IF(U492="Push",0,""))))</f>
        <v/>
      </c>
      <c r="W492">
        <f>IF(NOT(ISNUMBER(R492)),"",IF(U492="W",IF(ISNUMBER(P492),R492*(P492-1),""),IF(U492="L",-R492,IF(U492="Push",0,""))))</f>
        <v/>
      </c>
      <c r="X492" t="inlineStr">
        <is>
          <t>graded from final</t>
        </is>
      </c>
      <c r="Y492" t="inlineStr">
        <is>
          <t>Y - tags Gamdom</t>
        </is>
      </c>
      <c r="Z492" t="inlineStr">
        <is>
          <t>https://x.com/stevewilldoit/status/2107868184187744495</t>
        </is>
      </c>
      <c r="AA492" t="inlineStr">
        <is>
          <t>AI guy "the under"</t>
        </is>
      </c>
      <c r="AB492" t="inlineStr">
        <is>
          <t>Single</t>
        </is>
      </c>
      <c r="AC492" s="5">
        <f>IF(ISNUMBER(V492),Q492,"")</f>
        <v/>
      </c>
      <c r="AD492">
        <f>IF(ISNUMBER(W492),R492,"")</f>
        <v/>
      </c>
    </row>
    <row r="493">
      <c r="A493" t="inlineStr">
        <is>
          <t>S-577587</t>
        </is>
      </c>
      <c r="B493" t="inlineStr">
        <is>
          <t>Steve</t>
        </is>
      </c>
      <c r="C493" s="2" t="n">
        <v>46302.54928240741</v>
      </c>
      <c r="D493">
        <f>IF(C493="","",TEXT(C493,"dddd"))</f>
        <v/>
      </c>
      <c r="E493" s="3" t="n">
        <v>46302</v>
      </c>
      <c r="F493">
        <f>IF(E493="","",TEXT(E493,"dddd"))</f>
        <v/>
      </c>
      <c r="G493" t="inlineStr">
        <is>
          <t>8:00 PM</t>
        </is>
      </c>
      <c r="H493" t="inlineStr">
        <is>
          <t>N</t>
        </is>
      </c>
      <c r="I493" t="inlineStr"/>
      <c r="J493" t="inlineStr">
        <is>
          <t>MLB</t>
        </is>
      </c>
      <c r="K493" t="inlineStr">
        <is>
          <t>MLB</t>
        </is>
      </c>
      <c r="L493" t="inlineStr">
        <is>
          <t>parlay</t>
        </is>
      </c>
      <c r="M493" t="inlineStr">
        <is>
          <t>Chicago White Sox ML (-127) vs Guardians; Tampa Bay Rays +1.5 (-155) vs Yankees</t>
        </is>
      </c>
      <c r="N493" t="n">
        <v>2</v>
      </c>
      <c r="O493" t="inlineStr">
        <is>
          <t>+194</t>
        </is>
      </c>
      <c r="P493" s="4" t="n">
        <v>2.94</v>
      </c>
      <c r="Q493" s="5" t="n">
        <v>250000</v>
      </c>
      <c r="R493" t="inlineStr"/>
      <c r="S493" s="5" t="n">
        <v>735140.95</v>
      </c>
      <c r="T493" t="inlineStr">
        <is>
          <t>Red Rock (sportsbook)</t>
        </is>
      </c>
      <c r="U493" t="inlineStr">
        <is>
          <t>L</t>
        </is>
      </c>
      <c r="V493" s="5">
        <f>IF(NOT(ISNUMBER(Q493)),"",IF(U493="W",IF(ISNUMBER(S493),S493-Q493,IF(ISNUMBER(P493),Q493*(P493-1),"")),IF(U493="L",-Q493,IF(U493="Push",0,""))))</f>
        <v/>
      </c>
      <c r="W493">
        <f>IF(NOT(ISNUMBER(R493)),"",IF(U493="W",IF(ISNUMBER(P493),R493*(P493-1),""),IF(U493="L",-R493,IF(U493="Push",0,""))))</f>
        <v/>
      </c>
      <c r="X493" t="inlineStr">
        <is>
          <t>graded from final</t>
        </is>
      </c>
      <c r="Y493" t="inlineStr">
        <is>
          <t>Y - tags Gamdom, promo/giveaway language</t>
        </is>
      </c>
      <c r="Z493" t="inlineStr">
        <is>
          <t>https://x.com/stevewilldoit/status/2107896479033577587</t>
        </is>
      </c>
      <c r="AA493" t="inlineStr">
        <is>
          <t>"$250k on my own picks"</t>
        </is>
      </c>
      <c r="AB493" t="inlineStr">
        <is>
          <t>Parlay/multi-leg</t>
        </is>
      </c>
      <c r="AC493" s="5">
        <f>IF(ISNUMBER(V493),Q493,"")</f>
        <v/>
      </c>
      <c r="AD493">
        <f>IF(ISNUMBER(W493),R493,"")</f>
        <v/>
      </c>
    </row>
    <row r="494">
      <c r="A494" t="inlineStr">
        <is>
          <t>S-499561</t>
        </is>
      </c>
      <c r="B494" t="inlineStr">
        <is>
          <t>Steve</t>
        </is>
      </c>
      <c r="C494" s="2" t="n">
        <v>46302.73552083333</v>
      </c>
      <c r="D494">
        <f>IF(C494="","",TEXT(C494,"dddd"))</f>
        <v/>
      </c>
      <c r="E494" s="3" t="n">
        <v>46302</v>
      </c>
      <c r="F494">
        <f>IF(E494="","",TEXT(E494,"dddd"))</f>
        <v/>
      </c>
      <c r="G494" t="inlineStr">
        <is>
          <t>not matched</t>
        </is>
      </c>
      <c r="H494" t="inlineStr">
        <is>
          <t>N</t>
        </is>
      </c>
      <c r="I494" t="inlineStr"/>
      <c r="J494" t="inlineStr">
        <is>
          <t>Other</t>
        </is>
      </c>
      <c r="K494" t="inlineStr">
        <is>
          <t>WNBA + MLB + NHL</t>
        </is>
      </c>
      <c r="L494" t="inlineStr">
        <is>
          <t>parlay</t>
        </is>
      </c>
      <c r="M494" t="inlineStr">
        <is>
          <t>NY Liberty ML (+110) vs Dream; Milwaukee Brewers ML (-102) vs Padres; Edmonton Oilers ML (-135) vs Ducks</t>
        </is>
      </c>
      <c r="N494" t="n">
        <v>3</v>
      </c>
      <c r="O494" t="inlineStr">
        <is>
          <t>+624</t>
        </is>
      </c>
      <c r="P494" s="4" t="n">
        <v>7.24</v>
      </c>
      <c r="Q494" s="5" t="n">
        <v>150000</v>
      </c>
      <c r="R494" t="inlineStr"/>
      <c r="S494" s="5" t="n">
        <v>1085915.05</v>
      </c>
      <c r="T494" t="inlineStr">
        <is>
          <t>Red Rock (sportsbook)</t>
        </is>
      </c>
      <c r="U494" t="inlineStr">
        <is>
          <t>L</t>
        </is>
      </c>
      <c r="V494" s="5">
        <f>IF(NOT(ISNUMBER(Q494)),"",IF(U494="W",IF(ISNUMBER(S494),S494-Q494,IF(ISNUMBER(P494),Q494*(P494-1),"")),IF(U494="L",-Q494,IF(U494="Push",0,""))))</f>
        <v/>
      </c>
      <c r="W494">
        <f>IF(NOT(ISNUMBER(R494)),"",IF(U494="W",IF(ISNUMBER(P494),R494*(P494-1),""),IF(U494="L",-R494,IF(U494="Push",0,""))))</f>
        <v/>
      </c>
      <c r="X494" t="inlineStr">
        <is>
          <t>graded from final</t>
        </is>
      </c>
      <c r="Y494" t="inlineStr">
        <is>
          <t>N</t>
        </is>
      </c>
      <c r="Z494" t="inlineStr">
        <is>
          <t>https://x.com/stevewilldoit/status/2107963972154499561</t>
        </is>
      </c>
      <c r="AA494" t="inlineStr">
        <is>
          <t>"White Sox lose?? NO BIG DEAL"; Red Rock ticket; Final: Liberty lost 98-101 at ATL</t>
        </is>
      </c>
      <c r="AB494" t="inlineStr">
        <is>
          <t>Parlay/multi-leg</t>
        </is>
      </c>
      <c r="AC494" s="5">
        <f>IF(ISNUMBER(V494),Q494,"")</f>
        <v/>
      </c>
      <c r="AD494">
        <f>IF(ISNUMBER(W494),R494,"")</f>
        <v/>
      </c>
    </row>
    <row r="495">
      <c r="A495" t="inlineStr">
        <is>
          <t>S-918405</t>
        </is>
      </c>
      <c r="B495" t="inlineStr">
        <is>
          <t>Steve</t>
        </is>
      </c>
      <c r="C495" s="2" t="n">
        <v>46302.83061342593</v>
      </c>
      <c r="D495">
        <f>IF(C495="","",TEXT(C495,"dddd"))</f>
        <v/>
      </c>
      <c r="E495" s="3" t="n">
        <v>46302</v>
      </c>
      <c r="F495">
        <f>IF(E495="","",TEXT(E495,"dddd"))</f>
        <v/>
      </c>
      <c r="G495" t="inlineStr">
        <is>
          <t>not matched</t>
        </is>
      </c>
      <c r="H495" t="inlineStr">
        <is>
          <t>N</t>
        </is>
      </c>
      <c r="I495" t="inlineStr"/>
      <c r="J495" t="inlineStr">
        <is>
          <t>Other</t>
        </is>
      </c>
      <c r="K495" t="inlineStr">
        <is>
          <t>NHL + MLB</t>
        </is>
      </c>
      <c r="L495" t="inlineStr">
        <is>
          <t>parlay</t>
        </is>
      </c>
      <c r="M495" t="inlineStr">
        <is>
          <t>Edmonton Oilers ML vs Anaheim Ducks; Milwaukee Brewers ML vs Padres</t>
        </is>
      </c>
      <c r="N495" t="n">
        <v>2</v>
      </c>
      <c r="O495" t="inlineStr">
        <is>
          <t>+232</t>
        </is>
      </c>
      <c r="P495" s="4" t="n">
        <v>3.32</v>
      </c>
      <c r="Q495" s="5" t="n">
        <v>100000</v>
      </c>
      <c r="R495" t="inlineStr"/>
      <c r="S495" s="5" t="n">
        <v>332000</v>
      </c>
      <c r="T495" t="inlineStr">
        <is>
          <t>Gamdom</t>
        </is>
      </c>
      <c r="U495" t="inlineStr">
        <is>
          <t>W</t>
        </is>
      </c>
      <c r="V495" s="5">
        <f>IF(NOT(ISNUMBER(Q495)),"",IF(U495="W",IF(ISNUMBER(S495),S495-Q495,IF(ISNUMBER(P495),Q495*(P495-1),"")),IF(U495="L",-Q495,IF(U495="Push",0,""))))</f>
        <v/>
      </c>
      <c r="W495">
        <f>IF(NOT(ISNUMBER(R495)),"",IF(U495="W",IF(ISNUMBER(P495),R495*(P495-1),""),IF(U495="L",-R495,IF(U495="Push",0,""))))</f>
        <v/>
      </c>
      <c r="X495" t="inlineStr">
        <is>
          <t>graded from final</t>
        </is>
      </c>
      <c r="Y495" t="inlineStr">
        <is>
          <t>N</t>
        </is>
      </c>
      <c r="Z495" t="inlineStr">
        <is>
          <t>https://x.com/stevewilldoit/status/2107998429695918405</t>
        </is>
      </c>
      <c r="AA495" t="inlineStr">
        <is>
          <t>Unplaced 3-leg betslip shown in 621546 not counted; Final: EDM 5-2 ANA; MIL 3-1 SD</t>
        </is>
      </c>
      <c r="AB495" t="inlineStr">
        <is>
          <t>Parlay/multi-leg</t>
        </is>
      </c>
      <c r="AC495" s="5">
        <f>IF(ISNUMBER(V495),Q495,"")</f>
        <v/>
      </c>
      <c r="AD495">
        <f>IF(ISNUMBER(W495),R495,"")</f>
        <v/>
      </c>
    </row>
    <row r="496">
      <c r="A496" t="inlineStr">
        <is>
          <t>S-731287</t>
        </is>
      </c>
      <c r="B496" t="inlineStr">
        <is>
          <t>Steve</t>
        </is>
      </c>
      <c r="C496" s="2" t="n">
        <v>46303.40847222223</v>
      </c>
      <c r="D496">
        <f>IF(C496="","",TEXT(C496,"dddd"))</f>
        <v/>
      </c>
      <c r="E496" s="3" t="n">
        <v>46303</v>
      </c>
      <c r="F496">
        <f>IF(E496="","",TEXT(E496,"dddd"))</f>
        <v/>
      </c>
      <c r="G496" t="inlineStr">
        <is>
          <t>not matched</t>
        </is>
      </c>
      <c r="H496" t="inlineStr">
        <is>
          <t>N</t>
        </is>
      </c>
      <c r="I496" t="inlineStr"/>
      <c r="J496" t="inlineStr">
        <is>
          <t>Other</t>
        </is>
      </c>
      <c r="K496" t="inlineStr">
        <is>
          <t>NFL + MLB</t>
        </is>
      </c>
      <c r="L496" t="inlineStr">
        <is>
          <t>parlay</t>
        </is>
      </c>
      <c r="M496" t="inlineStr">
        <is>
          <t>Dallas Cowboys -6.5 vs Buccaneers; Detroit Lions ML vs Cardinals; Chicago White Sox ML vs Guardians</t>
        </is>
      </c>
      <c r="N496" t="n">
        <v>3</v>
      </c>
      <c r="O496" t="inlineStr">
        <is>
          <t>+344</t>
        </is>
      </c>
      <c r="P496" s="4" t="n">
        <v>4.44</v>
      </c>
      <c r="Q496" s="5" t="n">
        <v>30000</v>
      </c>
      <c r="R496" t="inlineStr"/>
      <c r="S496" s="5" t="n">
        <v>133200</v>
      </c>
      <c r="T496" t="inlineStr">
        <is>
          <t>Gamdom</t>
        </is>
      </c>
      <c r="U496" t="inlineStr">
        <is>
          <t>L</t>
        </is>
      </c>
      <c r="V496" s="5">
        <f>IF(NOT(ISNUMBER(Q496)),"",IF(U496="W",IF(ISNUMBER(S496),S496-Q496,IF(ISNUMBER(P496),Q496*(P496-1),"")),IF(U496="L",-Q496,IF(U496="Push",0,""))))</f>
        <v/>
      </c>
      <c r="W496">
        <f>IF(NOT(ISNUMBER(R496)),"",IF(U496="W",IF(ISNUMBER(P496),R496*(P496-1),""),IF(U496="L",-R496,IF(U496="Push",0,""))))</f>
        <v/>
      </c>
      <c r="X496" t="inlineStr">
        <is>
          <t>graded from final</t>
        </is>
      </c>
      <c r="Y496" t="inlineStr">
        <is>
          <t>N</t>
        </is>
      </c>
      <c r="Z496" t="inlineStr">
        <is>
          <t>https://x.com/stevewilldoit/status/2108207839705731287</t>
        </is>
      </c>
      <c r="AA496" t="inlineStr">
        <is>
          <t>"This feels free"; Cowboys lost 16-24, White Sox lost 5-9</t>
        </is>
      </c>
      <c r="AB496" t="inlineStr">
        <is>
          <t>Parlay/multi-leg</t>
        </is>
      </c>
      <c r="AC496" s="5">
        <f>IF(ISNUMBER(V496),Q496,"")</f>
        <v/>
      </c>
      <c r="AD496">
        <f>IF(ISNUMBER(W496),R496,"")</f>
        <v/>
      </c>
    </row>
    <row r="497">
      <c r="A497" t="inlineStr">
        <is>
          <t>S-971229</t>
        </is>
      </c>
      <c r="B497" t="inlineStr">
        <is>
          <t>Steve</t>
        </is>
      </c>
      <c r="C497" s="2" t="n">
        <v>46303.42532407407</v>
      </c>
      <c r="D497">
        <f>IF(C497="","",TEXT(C497,"dddd"))</f>
        <v/>
      </c>
      <c r="E497" s="3" t="n">
        <v>46303</v>
      </c>
      <c r="F497">
        <f>IF(E497="","",TEXT(E497,"dddd"))</f>
        <v/>
      </c>
      <c r="G497" t="inlineStr">
        <is>
          <t>8:15 PM</t>
        </is>
      </c>
      <c r="H497" t="inlineStr">
        <is>
          <t>Y</t>
        </is>
      </c>
      <c r="I497" t="inlineStr">
        <is>
          <t>TNF</t>
        </is>
      </c>
      <c r="J497" t="inlineStr">
        <is>
          <t>NFL</t>
        </is>
      </c>
      <c r="K497" t="inlineStr">
        <is>
          <t>NFL</t>
        </is>
      </c>
      <c r="L497" t="inlineStr">
        <is>
          <t>spread</t>
        </is>
      </c>
      <c r="M497" t="inlineStr">
        <is>
          <t>Dallas Cowboys -6.5 vs Tampa Bay Buccaneers (TNF)</t>
        </is>
      </c>
      <c r="N497" t="n">
        <v>1</v>
      </c>
      <c r="O497" t="inlineStr">
        <is>
          <t>-164</t>
        </is>
      </c>
      <c r="P497" s="4" t="n">
        <v>1.6098</v>
      </c>
      <c r="Q497" s="5" t="n">
        <v>500000</v>
      </c>
      <c r="R497" t="inlineStr"/>
      <c r="S497" s="5" t="n">
        <v>805000</v>
      </c>
      <c r="T497" t="inlineStr">
        <is>
          <t>Gamdom</t>
        </is>
      </c>
      <c r="U497" t="inlineStr">
        <is>
          <t>L</t>
        </is>
      </c>
      <c r="V497" s="5">
        <f>IF(NOT(ISNUMBER(Q497)),"",IF(U497="W",IF(ISNUMBER(S497),S497-Q497,IF(ISNUMBER(P497),Q497*(P497-1),"")),IF(U497="L",-Q497,IF(U497="Push",0,""))))</f>
        <v/>
      </c>
      <c r="W497">
        <f>IF(NOT(ISNUMBER(R497)),"",IF(U497="W",IF(ISNUMBER(P497),R497*(P497-1),""),IF(U497="L",-R497,IF(U497="Push",0,""))))</f>
        <v/>
      </c>
      <c r="X497" t="inlineStr">
        <is>
          <t>posted</t>
        </is>
      </c>
      <c r="Y497" t="inlineStr">
        <is>
          <t>Y - tags Gamdom</t>
        </is>
      </c>
      <c r="Z497" t="inlineStr">
        <is>
          <t>https://x.com/stevewilldoit/status/2108213948444971229</t>
        </is>
      </c>
      <c r="AA497" t="inlineStr">
        <is>
          <t>"$700,000 Dallas -6.5" announced; later "$500,000 cowboys -6.5"; "I lost Dallas"</t>
        </is>
      </c>
      <c r="AB497" t="inlineStr">
        <is>
          <t>Single</t>
        </is>
      </c>
      <c r="AC497" s="5">
        <f>IF(ISNUMBER(V497),Q497,"")</f>
        <v/>
      </c>
      <c r="AD497">
        <f>IF(ISNUMBER(W497),R497,"")</f>
        <v/>
      </c>
    </row>
    <row r="498">
      <c r="A498" t="inlineStr">
        <is>
          <t>T-309756</t>
        </is>
      </c>
      <c r="B498" t="inlineStr">
        <is>
          <t>Trent</t>
        </is>
      </c>
      <c r="C498" s="2" t="n">
        <v>46303.52931712963</v>
      </c>
      <c r="D498">
        <f>IF(C498="","",TEXT(C498,"dddd"))</f>
        <v/>
      </c>
      <c r="E498" s="3" t="n">
        <v>46303</v>
      </c>
      <c r="F498">
        <f>IF(E498="","",TEXT(E498,"dddd"))</f>
        <v/>
      </c>
      <c r="G498" t="inlineStr">
        <is>
          <t>8:15 PM</t>
        </is>
      </c>
      <c r="H498" t="inlineStr">
        <is>
          <t>Y</t>
        </is>
      </c>
      <c r="I498" t="inlineStr">
        <is>
          <t>TNF</t>
        </is>
      </c>
      <c r="J498" t="inlineStr">
        <is>
          <t>NFL</t>
        </is>
      </c>
      <c r="K498" t="inlineStr">
        <is>
          <t>NFL</t>
        </is>
      </c>
      <c r="L498" t="inlineStr">
        <is>
          <t>PrizePicks/DFS</t>
        </is>
      </c>
      <c r="M498" t="inlineStr">
        <is>
          <t>Javonte Williams o17 fantasy score; George Pickens o63.5 rec yds; Chris Godwin Jr. o31.5 rec yds; Jalon Daniels o46.5 rush yds</t>
        </is>
      </c>
      <c r="N498" t="n">
        <v>4</v>
      </c>
      <c r="O498" t="inlineStr">
        <is>
          <t>+900</t>
        </is>
      </c>
      <c r="P498" s="4" t="n">
        <v>10</v>
      </c>
      <c r="Q498" s="5" t="n">
        <v>1000</v>
      </c>
      <c r="R498" t="inlineStr"/>
      <c r="S498" s="5" t="n">
        <v>10000</v>
      </c>
      <c r="T498" t="inlineStr">
        <is>
          <t>PrizePicks</t>
        </is>
      </c>
      <c r="U498" t="inlineStr">
        <is>
          <t>L</t>
        </is>
      </c>
      <c r="V498" s="5">
        <f>IF(NOT(ISNUMBER(Q498)),"",IF(U498="W",IF(ISNUMBER(S498),S498-Q498,IF(ISNUMBER(P498),Q498*(P498-1),"")),IF(U498="L",-Q498,IF(U498="Push",0,""))))</f>
        <v/>
      </c>
      <c r="W498">
        <f>IF(NOT(ISNUMBER(R498)),"",IF(U498="W",IF(ISNUMBER(P498),R498*(P498-1),""),IF(U498="L",-R498,IF(U498="Push",0,""))))</f>
        <v/>
      </c>
      <c r="X498" t="inlineStr">
        <is>
          <t>graded from final</t>
        </is>
      </c>
      <c r="Y498" t="inlineStr">
        <is>
          <t>N</t>
        </is>
      </c>
      <c r="Z498" t="inlineStr">
        <is>
          <t>https://x.com/BookitWithTrent/status/2108251631456309756</t>
        </is>
      </c>
      <c r="AA498" t="inlineStr">
        <is>
          <t>"THE TNF SCRIPTURE (10x)" 4-pick power play; box score: Daniels 23 rush yds, Javonte ~14.2 FS -&gt; miss; "piss"</t>
        </is>
      </c>
      <c r="AB498" t="inlineStr">
        <is>
          <t>Parlay/multi-leg</t>
        </is>
      </c>
      <c r="AC498" s="5">
        <f>IF(ISNUMBER(V498),Q498,"")</f>
        <v/>
      </c>
      <c r="AD498">
        <f>IF(ISNUMBER(W498),R498,"")</f>
        <v/>
      </c>
    </row>
    <row r="499">
      <c r="A499" t="inlineStr">
        <is>
          <t>T-781661</t>
        </is>
      </c>
      <c r="B499" t="inlineStr">
        <is>
          <t>Trent</t>
        </is>
      </c>
      <c r="C499" s="2" t="n">
        <v>46303.58998842593</v>
      </c>
      <c r="D499">
        <f>IF(C499="","",TEXT(C499,"dddd"))</f>
        <v/>
      </c>
      <c r="E499" s="3" t="n">
        <v>46303</v>
      </c>
      <c r="F499">
        <f>IF(E499="","",TEXT(E499,"dddd"))</f>
        <v/>
      </c>
      <c r="G499" t="inlineStr">
        <is>
          <t>not matched</t>
        </is>
      </c>
      <c r="H499" t="inlineStr">
        <is>
          <t>N</t>
        </is>
      </c>
      <c r="I499" t="inlineStr"/>
      <c r="J499" t="inlineStr">
        <is>
          <t>MLB</t>
        </is>
      </c>
      <c r="K499" t="inlineStr">
        <is>
          <t>MLB</t>
        </is>
      </c>
      <c r="L499" t="inlineStr">
        <is>
          <t>ML</t>
        </is>
      </c>
      <c r="M499" t="inlineStr">
        <is>
          <t>Chicago White Sox ML vs Guardians (ALDS)</t>
        </is>
      </c>
      <c r="N499" t="n">
        <v>1</v>
      </c>
      <c r="O499" t="inlineStr">
        <is>
          <t>+100</t>
        </is>
      </c>
      <c r="P499" s="4" t="n">
        <v>2</v>
      </c>
      <c r="Q499" s="5" t="inlineStr"/>
      <c r="R499" t="n">
        <v>4</v>
      </c>
      <c r="S499" s="5" t="inlineStr"/>
      <c r="T499" t="inlineStr">
        <is>
          <t>not shown</t>
        </is>
      </c>
      <c r="U499" t="inlineStr">
        <is>
          <t>L</t>
        </is>
      </c>
      <c r="V499" s="5">
        <f>IF(NOT(ISNUMBER(Q499)),"",IF(U499="W",IF(ISNUMBER(S499),S499-Q499,IF(ISNUMBER(P499),Q499*(P499-1),"")),IF(U499="L",-Q499,IF(U499="Push",0,""))))</f>
        <v/>
      </c>
      <c r="W499">
        <f>IF(NOT(ISNUMBER(R499)),"",IF(U499="W",IF(ISNUMBER(P499),R499*(P499-1),""),IF(U499="L",-R499,IF(U499="Push",0,""))))</f>
        <v/>
      </c>
      <c r="X499" t="inlineStr">
        <is>
          <t>posted</t>
        </is>
      </c>
      <c r="Y499" t="inlineStr">
        <is>
          <t>N</t>
        </is>
      </c>
      <c r="Z499" t="inlineStr">
        <is>
          <t>https://x.com/BookitWithTrent/status/2108273619486781661</t>
        </is>
      </c>
      <c r="AA499" t="inlineStr">
        <is>
          <t>"ALDS MORTAL MEGA MAX" 4U; "White Sox ML ❌ 0-4 in the series"</t>
        </is>
      </c>
      <c r="AB499" t="inlineStr">
        <is>
          <t>Single</t>
        </is>
      </c>
      <c r="AC499" s="5">
        <f>IF(ISNUMBER(V499),Q499,"")</f>
        <v/>
      </c>
      <c r="AD499">
        <f>IF(ISNUMBER(W499),R499,"")</f>
        <v/>
      </c>
    </row>
    <row r="500">
      <c r="A500" t="inlineStr">
        <is>
          <t>T-208256</t>
        </is>
      </c>
      <c r="B500" t="inlineStr">
        <is>
          <t>Trent</t>
        </is>
      </c>
      <c r="C500" s="2" t="n">
        <v>46303.60400462963</v>
      </c>
      <c r="D500">
        <f>IF(C500="","",TEXT(C500,"dddd"))</f>
        <v/>
      </c>
      <c r="E500" s="3" t="n">
        <v>46303</v>
      </c>
      <c r="F500">
        <f>IF(E500="","",TEXT(E500,"dddd"))</f>
        <v/>
      </c>
      <c r="G500" t="inlineStr">
        <is>
          <t>8:15 PM</t>
        </is>
      </c>
      <c r="H500" t="inlineStr">
        <is>
          <t>Y</t>
        </is>
      </c>
      <c r="I500" t="inlineStr">
        <is>
          <t>TNF</t>
        </is>
      </c>
      <c r="J500" t="inlineStr">
        <is>
          <t>NFL</t>
        </is>
      </c>
      <c r="K500" t="inlineStr">
        <is>
          <t>NFL</t>
        </is>
      </c>
      <c r="L500" t="inlineStr">
        <is>
          <t>spread</t>
        </is>
      </c>
      <c r="M500" t="inlineStr">
        <is>
          <t>Dallas Cowboys -8.5 vs Buccaneers (TNF)</t>
        </is>
      </c>
      <c r="N500" t="n">
        <v>1</v>
      </c>
      <c r="O500" t="inlineStr">
        <is>
          <t>not shown</t>
        </is>
      </c>
      <c r="P500" s="4" t="inlineStr"/>
      <c r="Q500" s="5" t="inlineStr"/>
      <c r="R500" t="n">
        <v>5</v>
      </c>
      <c r="S500" s="5" t="inlineStr"/>
      <c r="T500" t="inlineStr">
        <is>
          <t>not shown</t>
        </is>
      </c>
      <c r="U500" t="inlineStr">
        <is>
          <t>L</t>
        </is>
      </c>
      <c r="V500" s="5">
        <f>IF(NOT(ISNUMBER(Q500)),"",IF(U500="W",IF(ISNUMBER(S500),S500-Q500,IF(ISNUMBER(P500),Q500*(P500-1),"")),IF(U500="L",-Q500,IF(U500="Push",0,""))))</f>
        <v/>
      </c>
      <c r="W500">
        <f>IF(NOT(ISNUMBER(R500)),"",IF(U500="W",IF(ISNUMBER(P500),R500*(P500-1),""),IF(U500="L",-R500,IF(U500="Push",0,""))))</f>
        <v/>
      </c>
      <c r="X500" t="inlineStr">
        <is>
          <t>posted</t>
        </is>
      </c>
      <c r="Y500" t="inlineStr">
        <is>
          <t>N</t>
        </is>
      </c>
      <c r="Z500" t="inlineStr">
        <is>
          <t>https://x.com/BookitWithTrent/status/2108278699955208256</t>
        </is>
      </c>
      <c r="AA500" t="inlineStr">
        <is>
          <t>"TNF MORTAL MEGA MAX" 5U; "Cowboys -8.5❌"</t>
        </is>
      </c>
      <c r="AB500" t="inlineStr">
        <is>
          <t>Single</t>
        </is>
      </c>
      <c r="AC500" s="5">
        <f>IF(ISNUMBER(V500),Q500,"")</f>
        <v/>
      </c>
      <c r="AD500">
        <f>IF(ISNUMBER(W500),R500,"")</f>
        <v/>
      </c>
    </row>
    <row r="501">
      <c r="A501" t="inlineStr">
        <is>
          <t>T-386078</t>
        </is>
      </c>
      <c r="B501" t="inlineStr">
        <is>
          <t>Trent</t>
        </is>
      </c>
      <c r="C501" s="2" t="n">
        <v>46303.63127314814</v>
      </c>
      <c r="D501">
        <f>IF(C501="","",TEXT(C501,"dddd"))</f>
        <v/>
      </c>
      <c r="E501" s="3" t="n">
        <v>46303</v>
      </c>
      <c r="F501">
        <f>IF(E501="","",TEXT(E501,"dddd"))</f>
        <v/>
      </c>
      <c r="G501" t="inlineStr">
        <is>
          <t>8:15 PM</t>
        </is>
      </c>
      <c r="H501" t="inlineStr">
        <is>
          <t>Y</t>
        </is>
      </c>
      <c r="I501" t="inlineStr">
        <is>
          <t>TNF</t>
        </is>
      </c>
      <c r="J501" t="inlineStr">
        <is>
          <t>NFL</t>
        </is>
      </c>
      <c r="K501" t="inlineStr">
        <is>
          <t>NFL</t>
        </is>
      </c>
      <c r="L501" t="inlineStr">
        <is>
          <t>first TD</t>
        </is>
      </c>
      <c r="M501" t="inlineStr">
        <is>
          <t>TNF first TD scorer (player not shown in text)</t>
        </is>
      </c>
      <c r="N501" t="n">
        <v>1</v>
      </c>
      <c r="O501" t="inlineStr">
        <is>
          <t>+4000</t>
        </is>
      </c>
      <c r="P501" s="4" t="n">
        <v>41</v>
      </c>
      <c r="Q501" s="5" t="inlineStr"/>
      <c r="R501" t="inlineStr"/>
      <c r="S501" s="5" t="inlineStr"/>
      <c r="T501" t="inlineStr">
        <is>
          <t>not shown</t>
        </is>
      </c>
      <c r="U501" t="inlineStr">
        <is>
          <t>Unknown</t>
        </is>
      </c>
      <c r="V501" s="5">
        <f>IF(NOT(ISNUMBER(Q501)),"",IF(U501="W",IF(ISNUMBER(S501),S501-Q501,IF(ISNUMBER(P501),Q501*(P501-1),"")),IF(U501="L",-Q501,IF(U501="Push",0,""))))</f>
        <v/>
      </c>
      <c r="W501">
        <f>IF(NOT(ISNUMBER(R501)),"",IF(U501="W",IF(ISNUMBER(P501),R501*(P501-1),""),IF(U501="L",-R501,IF(U501="Push",0,""))))</f>
        <v/>
      </c>
      <c r="X501" t="inlineStr">
        <is>
          <t>unverified</t>
        </is>
      </c>
      <c r="Y501" t="inlineStr">
        <is>
          <t>N</t>
        </is>
      </c>
      <c r="Z501" t="inlineStr">
        <is>
          <t>https://x.com/BookitWithTrent/status/2108288580351386078</t>
        </is>
      </c>
      <c r="AA501" t="inlineStr">
        <is>
          <t>"TNF FIRST TOUCHDOWN: IT WAS ALWAYS… (+4000)"; player only in linked media; stake not stated</t>
        </is>
      </c>
      <c r="AB501" t="inlineStr">
        <is>
          <t>Single</t>
        </is>
      </c>
      <c r="AC501" s="5">
        <f>IF(ISNUMBER(V501),Q501,"")</f>
        <v/>
      </c>
      <c r="AD501">
        <f>IF(ISNUMBER(W501),R501,"")</f>
        <v/>
      </c>
    </row>
    <row r="502">
      <c r="A502" t="inlineStr">
        <is>
          <t>S-613578b</t>
        </is>
      </c>
      <c r="B502" t="inlineStr">
        <is>
          <t>Steve</t>
        </is>
      </c>
      <c r="C502" s="2" t="n">
        <v>46303.90252314815</v>
      </c>
      <c r="D502">
        <f>IF(C502="","",TEXT(C502,"dddd"))</f>
        <v/>
      </c>
      <c r="E502" s="3" t="n">
        <v>46303</v>
      </c>
      <c r="F502">
        <f>IF(E502="","",TEXT(E502,"dddd"))</f>
        <v/>
      </c>
      <c r="G502" t="inlineStr">
        <is>
          <t>not matched</t>
        </is>
      </c>
      <c r="H502" t="inlineStr">
        <is>
          <t>N</t>
        </is>
      </c>
      <c r="I502" t="inlineStr"/>
      <c r="J502" t="inlineStr">
        <is>
          <t>Other</t>
        </is>
      </c>
      <c r="K502" t="inlineStr">
        <is>
          <t>NHL</t>
        </is>
      </c>
      <c r="L502" t="inlineStr">
        <is>
          <t>other</t>
        </is>
      </c>
      <c r="M502" t="inlineStr">
        <is>
          <t>Hockey bet (selection not shown)</t>
        </is>
      </c>
      <c r="N502" t="n">
        <v>1</v>
      </c>
      <c r="O502" t="inlineStr">
        <is>
          <t>not shown</t>
        </is>
      </c>
      <c r="P502" s="4" t="inlineStr"/>
      <c r="Q502" s="5" t="n">
        <v>200000</v>
      </c>
      <c r="R502" t="inlineStr"/>
      <c r="S502" s="5" t="inlineStr"/>
      <c r="T502" t="inlineStr">
        <is>
          <t>not shown</t>
        </is>
      </c>
      <c r="U502" t="inlineStr">
        <is>
          <t>W</t>
        </is>
      </c>
      <c r="V502" s="5">
        <f>IF(NOT(ISNUMBER(Q502)),"",IF(U502="W",IF(ISNUMBER(S502),S502-Q502,IF(ISNUMBER(P502),Q502*(P502-1),"")),IF(U502="L",-Q502,IF(U502="Push",0,""))))</f>
        <v/>
      </c>
      <c r="W502">
        <f>IF(NOT(ISNUMBER(R502)),"",IF(U502="W",IF(ISNUMBER(P502),R502*(P502-1),""),IF(U502="L",-R502,IF(U502="Push",0,""))))</f>
        <v/>
      </c>
      <c r="X502" t="inlineStr">
        <is>
          <t>posted</t>
        </is>
      </c>
      <c r="Y502" t="inlineStr">
        <is>
          <t>N</t>
        </is>
      </c>
      <c r="Z502" t="inlineStr">
        <is>
          <t>https://x.com/stevewilldoit/status/2108386880542613578</t>
        </is>
      </c>
      <c r="AA502" t="inlineStr">
        <is>
          <t>"$200,000 on hockey (I won)" - the $200k originally announced for Dallas at IRL casino; no slip</t>
        </is>
      </c>
      <c r="AB502" t="inlineStr">
        <is>
          <t>Single</t>
        </is>
      </c>
      <c r="AC502" s="5">
        <f>IF(ISNUMBER(V502),Q502,"")</f>
        <v/>
      </c>
      <c r="AD502">
        <f>IF(ISNUMBER(W502),R502,"")</f>
        <v/>
      </c>
    </row>
    <row r="503">
      <c r="A503" t="inlineStr">
        <is>
          <t>S-724699</t>
        </is>
      </c>
      <c r="B503" t="inlineStr">
        <is>
          <t>Steve</t>
        </is>
      </c>
      <c r="C503" s="2" t="n">
        <v>46304.55125</v>
      </c>
      <c r="D503">
        <f>IF(C503="","",TEXT(C503,"dddd"))</f>
        <v/>
      </c>
      <c r="E503" s="3" t="n">
        <v>46304</v>
      </c>
      <c r="F503">
        <f>IF(E503="","",TEXT(E503,"dddd"))</f>
        <v/>
      </c>
      <c r="G503" t="inlineStr">
        <is>
          <t>not matched</t>
        </is>
      </c>
      <c r="H503" t="inlineStr">
        <is>
          <t>Unknown</t>
        </is>
      </c>
      <c r="I503" t="inlineStr">
        <is>
          <t>kickoff not matched</t>
        </is>
      </c>
      <c r="J503" t="inlineStr">
        <is>
          <t>CFB</t>
        </is>
      </c>
      <c r="K503" t="inlineStr">
        <is>
          <t>NCAAF</t>
        </is>
      </c>
      <c r="L503" t="inlineStr">
        <is>
          <t>total</t>
        </is>
      </c>
      <c r="M503" t="inlineStr">
        <is>
          <t>Iowa Hawkeyes @ Washington Huskies Under 42.5</t>
        </is>
      </c>
      <c r="N503" t="n">
        <v>1</v>
      </c>
      <c r="O503" t="inlineStr">
        <is>
          <t>-137</t>
        </is>
      </c>
      <c r="P503" s="4" t="n">
        <v>1.7299</v>
      </c>
      <c r="Q503" s="5" t="n">
        <v>75000</v>
      </c>
      <c r="R503" t="inlineStr"/>
      <c r="S503" s="5" t="n">
        <v>129750</v>
      </c>
      <c r="T503" t="inlineStr">
        <is>
          <t>Gamdom</t>
        </is>
      </c>
      <c r="U503" t="inlineStr">
        <is>
          <t>Pending</t>
        </is>
      </c>
      <c r="V503" s="5">
        <f>IF(NOT(ISNUMBER(Q503)),"",IF(U503="W",IF(ISNUMBER(S503),S503-Q503,IF(ISNUMBER(P503),Q503*(P503-1),"")),IF(U503="L",-Q503,IF(U503="Push",0,""))))</f>
        <v/>
      </c>
      <c r="W503">
        <f>IF(NOT(ISNUMBER(R503)),"",IF(U503="W",IF(ISNUMBER(P503),R503*(P503-1),""),IF(U503="L",-R503,IF(U503="Push",0,""))))</f>
        <v/>
      </c>
      <c r="X503" t="inlineStr">
        <is>
          <t>pending</t>
        </is>
      </c>
      <c r="Y503" t="inlineStr">
        <is>
          <t>Y - tags Gamdom</t>
        </is>
      </c>
      <c r="Z503" t="inlineStr">
        <is>
          <t>https://x.com/stevewilldoit/status/2108621969914724699</t>
        </is>
      </c>
      <c r="AA503" t="inlineStr">
        <is>
          <t>AI guy Brandon pick (Iowa u41.5); Steve placed u42.5</t>
        </is>
      </c>
      <c r="AB503" t="inlineStr">
        <is>
          <t>Single</t>
        </is>
      </c>
      <c r="AC503" s="5">
        <f>IF(ISNUMBER(V503),Q503,"")</f>
        <v/>
      </c>
      <c r="AD503">
        <f>IF(ISNUMBER(W503),R503,"")</f>
        <v/>
      </c>
    </row>
    <row r="504">
      <c r="A504" t="inlineStr">
        <is>
          <t>T-606721a</t>
        </is>
      </c>
      <c r="B504" t="inlineStr">
        <is>
          <t>Trent</t>
        </is>
      </c>
      <c r="C504" s="2" t="n">
        <v>46304.695</v>
      </c>
      <c r="D504">
        <f>IF(C504="","",TEXT(C504,"dddd"))</f>
        <v/>
      </c>
      <c r="E504" s="3" t="n">
        <v>46304</v>
      </c>
      <c r="F504">
        <f>IF(E504="","",TEXT(E504,"dddd"))</f>
        <v/>
      </c>
      <c r="G504" t="inlineStr">
        <is>
          <t>not matched</t>
        </is>
      </c>
      <c r="H504" t="inlineStr">
        <is>
          <t>Unknown</t>
        </is>
      </c>
      <c r="I504" t="inlineStr">
        <is>
          <t>kickoff not matched</t>
        </is>
      </c>
      <c r="J504" t="inlineStr">
        <is>
          <t>CFB</t>
        </is>
      </c>
      <c r="K504" t="inlineStr">
        <is>
          <t>NCAAF</t>
        </is>
      </c>
      <c r="L504" t="inlineStr">
        <is>
          <t>spread</t>
        </is>
      </c>
      <c r="M504" t="inlineStr">
        <is>
          <t>Louisville -4.5 vs Florida State</t>
        </is>
      </c>
      <c r="N504" t="n">
        <v>1</v>
      </c>
      <c r="O504" t="inlineStr">
        <is>
          <t>not shown</t>
        </is>
      </c>
      <c r="P504" s="4" t="inlineStr"/>
      <c r="Q504" s="5" t="inlineStr"/>
      <c r="R504" t="n">
        <v>3</v>
      </c>
      <c r="S504" s="5" t="inlineStr"/>
      <c r="T504" t="inlineStr">
        <is>
          <t>not shown</t>
        </is>
      </c>
      <c r="U504" t="inlineStr">
        <is>
          <t>Pending</t>
        </is>
      </c>
      <c r="V504" s="5">
        <f>IF(NOT(ISNUMBER(Q504)),"",IF(U504="W",IF(ISNUMBER(S504),S504-Q504,IF(ISNUMBER(P504),Q504*(P504-1),"")),IF(U504="L",-Q504,IF(U504="Push",0,""))))</f>
        <v/>
      </c>
      <c r="W504">
        <f>IF(NOT(ISNUMBER(R504)),"",IF(U504="W",IF(ISNUMBER(P504),R504*(P504-1),""),IF(U504="L",-R504,IF(U504="Push",0,""))))</f>
        <v/>
      </c>
      <c r="X504" t="inlineStr">
        <is>
          <t>pending</t>
        </is>
      </c>
      <c r="Y504" t="inlineStr">
        <is>
          <t>N</t>
        </is>
      </c>
      <c r="Z504" t="inlineStr">
        <is>
          <t>https://x.com/BookitWithTrent/status/2108674064533606721</t>
        </is>
      </c>
      <c r="AA504" t="inlineStr">
        <is>
          <t>"FRIDAY NIGHT MORTAL MEGAS" 3u</t>
        </is>
      </c>
      <c r="AB504" t="inlineStr">
        <is>
          <t>Single</t>
        </is>
      </c>
      <c r="AC504" s="5">
        <f>IF(ISNUMBER(V504),Q504,"")</f>
        <v/>
      </c>
      <c r="AD504">
        <f>IF(ISNUMBER(W504),R504,"")</f>
        <v/>
      </c>
    </row>
    <row r="505">
      <c r="A505" t="inlineStr">
        <is>
          <t>T-606721b</t>
        </is>
      </c>
      <c r="B505" t="inlineStr">
        <is>
          <t>Trent</t>
        </is>
      </c>
      <c r="C505" s="2" t="n">
        <v>46304.695</v>
      </c>
      <c r="D505">
        <f>IF(C505="","",TEXT(C505,"dddd"))</f>
        <v/>
      </c>
      <c r="E505" s="3" t="n">
        <v>46304</v>
      </c>
      <c r="F505">
        <f>IF(E505="","",TEXT(E505,"dddd"))</f>
        <v/>
      </c>
      <c r="G505" t="inlineStr">
        <is>
          <t>not matched</t>
        </is>
      </c>
      <c r="H505" t="inlineStr">
        <is>
          <t>Unknown</t>
        </is>
      </c>
      <c r="I505" t="inlineStr">
        <is>
          <t>kickoff not matched</t>
        </is>
      </c>
      <c r="J505" t="inlineStr">
        <is>
          <t>CFB</t>
        </is>
      </c>
      <c r="K505" t="inlineStr">
        <is>
          <t>NCAAF</t>
        </is>
      </c>
      <c r="L505" t="inlineStr">
        <is>
          <t>spread</t>
        </is>
      </c>
      <c r="M505" t="inlineStr">
        <is>
          <t>Washington -2.5 vs Iowa</t>
        </is>
      </c>
      <c r="N505" t="n">
        <v>1</v>
      </c>
      <c r="O505" t="inlineStr">
        <is>
          <t>not shown</t>
        </is>
      </c>
      <c r="P505" s="4" t="inlineStr"/>
      <c r="Q505" s="5" t="inlineStr"/>
      <c r="R505" t="n">
        <v>3</v>
      </c>
      <c r="S505" s="5" t="inlineStr"/>
      <c r="T505" t="inlineStr">
        <is>
          <t>not shown</t>
        </is>
      </c>
      <c r="U505" t="inlineStr">
        <is>
          <t>Pending</t>
        </is>
      </c>
      <c r="V505" s="5">
        <f>IF(NOT(ISNUMBER(Q505)),"",IF(U505="W",IF(ISNUMBER(S505),S505-Q505,IF(ISNUMBER(P505),Q505*(P505-1),"")),IF(U505="L",-Q505,IF(U505="Push",0,""))))</f>
        <v/>
      </c>
      <c r="W505">
        <f>IF(NOT(ISNUMBER(R505)),"",IF(U505="W",IF(ISNUMBER(P505),R505*(P505-1),""),IF(U505="L",-R505,IF(U505="Push",0,""))))</f>
        <v/>
      </c>
      <c r="X505" t="inlineStr">
        <is>
          <t>pending</t>
        </is>
      </c>
      <c r="Y505" t="inlineStr">
        <is>
          <t>N</t>
        </is>
      </c>
      <c r="Z505" t="inlineStr">
        <is>
          <t>https://x.com/BookitWithTrent/status/2108674064533606721</t>
        </is>
      </c>
      <c r="AA505" t="inlineStr">
        <is>
          <t>"FRIDAY NIGHT MORTAL MEGAS" 3u</t>
        </is>
      </c>
      <c r="AB505" t="inlineStr">
        <is>
          <t>Single</t>
        </is>
      </c>
      <c r="AC505" s="5">
        <f>IF(ISNUMBER(V505),Q505,"")</f>
        <v/>
      </c>
      <c r="AD505">
        <f>IF(ISNUMBER(W505),R505,"")</f>
        <v/>
      </c>
    </row>
    <row r="506">
      <c r="A506" t="inlineStr">
        <is>
          <t>T-606721c</t>
        </is>
      </c>
      <c r="B506" t="inlineStr">
        <is>
          <t>Trent</t>
        </is>
      </c>
      <c r="C506" s="2" t="n">
        <v>46304.695</v>
      </c>
      <c r="D506">
        <f>IF(C506="","",TEXT(C506,"dddd"))</f>
        <v/>
      </c>
      <c r="E506" s="3" t="n">
        <v>46304</v>
      </c>
      <c r="F506">
        <f>IF(E506="","",TEXT(E506,"dddd"))</f>
        <v/>
      </c>
      <c r="G506" t="inlineStr">
        <is>
          <t>not matched</t>
        </is>
      </c>
      <c r="H506" t="inlineStr">
        <is>
          <t>Unknown</t>
        </is>
      </c>
      <c r="I506" t="inlineStr">
        <is>
          <t>kickoff not matched</t>
        </is>
      </c>
      <c r="J506" t="inlineStr">
        <is>
          <t>CFB</t>
        </is>
      </c>
      <c r="K506" t="inlineStr">
        <is>
          <t>NCAAF</t>
        </is>
      </c>
      <c r="L506" t="inlineStr">
        <is>
          <t>spread</t>
        </is>
      </c>
      <c r="M506" t="inlineStr">
        <is>
          <t>Iowa State +11.5 @ BYU</t>
        </is>
      </c>
      <c r="N506" t="n">
        <v>1</v>
      </c>
      <c r="O506" t="inlineStr">
        <is>
          <t>not shown</t>
        </is>
      </c>
      <c r="P506" s="4" t="inlineStr"/>
      <c r="Q506" s="5" t="inlineStr"/>
      <c r="R506" t="n">
        <v>3</v>
      </c>
      <c r="S506" s="5" t="inlineStr"/>
      <c r="T506" t="inlineStr">
        <is>
          <t>not shown</t>
        </is>
      </c>
      <c r="U506" t="inlineStr">
        <is>
          <t>Pending</t>
        </is>
      </c>
      <c r="V506" s="5">
        <f>IF(NOT(ISNUMBER(Q506)),"",IF(U506="W",IF(ISNUMBER(S506),S506-Q506,IF(ISNUMBER(P506),Q506*(P506-1),"")),IF(U506="L",-Q506,IF(U506="Push",0,""))))</f>
        <v/>
      </c>
      <c r="W506">
        <f>IF(NOT(ISNUMBER(R506)),"",IF(U506="W",IF(ISNUMBER(P506),R506*(P506-1),""),IF(U506="L",-R506,IF(U506="Push",0,""))))</f>
        <v/>
      </c>
      <c r="X506" t="inlineStr">
        <is>
          <t>pending</t>
        </is>
      </c>
      <c r="Y506" t="inlineStr">
        <is>
          <t>N</t>
        </is>
      </c>
      <c r="Z506" t="inlineStr">
        <is>
          <t>https://x.com/BookitWithTrent/status/2108674064533606721</t>
        </is>
      </c>
      <c r="AA506" t="inlineStr">
        <is>
          <t>"FRIDAY NIGHT MORTAL MEGAS" 3u</t>
        </is>
      </c>
      <c r="AB506" t="inlineStr">
        <is>
          <t>Single</t>
        </is>
      </c>
      <c r="AC506" s="5">
        <f>IF(ISNUMBER(V506),Q506,"")</f>
        <v/>
      </c>
      <c r="AD506">
        <f>IF(ISNUMBER(W506),R506,"")</f>
        <v/>
      </c>
    </row>
  </sheetData>
  <autoFilter ref="A1:AD506"/>
  <conditionalFormatting sqref="U2:U506">
    <cfRule type="cellIs" priority="1" operator="equal" dxfId="0">
      <formula>"W"</formula>
    </cfRule>
    <cfRule type="cellIs" priority="2" operator="equal" dxfId="1">
      <formula>"L"</formula>
    </cfRule>
    <cfRule type="cellIs" priority="3" operator="equal" dxfId="2">
      <formula>"Push"</formula>
    </cfRule>
    <cfRule type="cellIs" priority="4" operator="equal" dxfId="3">
      <formula>"Pending"</formula>
    </cfRule>
    <cfRule type="cellIs" priority="5" operator="equal" dxfId="4">
      <formula>"Unknown"</formula>
    </cfRule>
  </conditionalFormatting>
  <conditionalFormatting sqref="V2:V506">
    <cfRule type="cellIs" priority="6" operator="greaterThan" dxfId="5">
      <formula>0</formula>
    </cfRule>
    <cfRule type="cellIs" priority="7" operator="lessThan" dxfId="6">
      <formula>0</formula>
    </cfRule>
  </conditionalFormatting>
  <conditionalFormatting sqref="W2:W506">
    <cfRule type="cellIs" priority="8" operator="greaterThan" dxfId="5">
      <formula>0</formula>
    </cfRule>
    <cfRule type="cellIs" priority="9" operator="lessThan" dxfId="6">
      <formula>0</formula>
    </cfRule>
  </conditionalFormatting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Z5" r:id="rId4"/>
    <hyperlink xmlns:r="http://schemas.openxmlformats.org/officeDocument/2006/relationships" ref="Z6" r:id="rId5"/>
    <hyperlink xmlns:r="http://schemas.openxmlformats.org/officeDocument/2006/relationships" ref="Z7" r:id="rId6"/>
    <hyperlink xmlns:r="http://schemas.openxmlformats.org/officeDocument/2006/relationships" ref="Z8" r:id="rId7"/>
    <hyperlink xmlns:r="http://schemas.openxmlformats.org/officeDocument/2006/relationships" ref="Z9" r:id="rId8"/>
    <hyperlink xmlns:r="http://schemas.openxmlformats.org/officeDocument/2006/relationships" ref="Z10" r:id="rId9"/>
    <hyperlink xmlns:r="http://schemas.openxmlformats.org/officeDocument/2006/relationships" ref="Z11" r:id="rId10"/>
    <hyperlink xmlns:r="http://schemas.openxmlformats.org/officeDocument/2006/relationships" ref="Z12" r:id="rId11"/>
    <hyperlink xmlns:r="http://schemas.openxmlformats.org/officeDocument/2006/relationships" ref="Z13" r:id="rId12"/>
    <hyperlink xmlns:r="http://schemas.openxmlformats.org/officeDocument/2006/relationships" ref="Z14" r:id="rId13"/>
    <hyperlink xmlns:r="http://schemas.openxmlformats.org/officeDocument/2006/relationships" ref="Z15" r:id="rId14"/>
    <hyperlink xmlns:r="http://schemas.openxmlformats.org/officeDocument/2006/relationships" ref="Z16" r:id="rId15"/>
    <hyperlink xmlns:r="http://schemas.openxmlformats.org/officeDocument/2006/relationships" ref="Z17" r:id="rId16"/>
    <hyperlink xmlns:r="http://schemas.openxmlformats.org/officeDocument/2006/relationships" ref="Z18" r:id="rId17"/>
    <hyperlink xmlns:r="http://schemas.openxmlformats.org/officeDocument/2006/relationships" ref="Z19" r:id="rId18"/>
    <hyperlink xmlns:r="http://schemas.openxmlformats.org/officeDocument/2006/relationships" ref="Z20" r:id="rId19"/>
    <hyperlink xmlns:r="http://schemas.openxmlformats.org/officeDocument/2006/relationships" ref="Z21" r:id="rId20"/>
    <hyperlink xmlns:r="http://schemas.openxmlformats.org/officeDocument/2006/relationships" ref="Z22" r:id="rId21"/>
    <hyperlink xmlns:r="http://schemas.openxmlformats.org/officeDocument/2006/relationships" ref="Z23" r:id="rId22"/>
    <hyperlink xmlns:r="http://schemas.openxmlformats.org/officeDocument/2006/relationships" ref="Z24" r:id="rId23"/>
    <hyperlink xmlns:r="http://schemas.openxmlformats.org/officeDocument/2006/relationships" ref="Z25" r:id="rId24"/>
    <hyperlink xmlns:r="http://schemas.openxmlformats.org/officeDocument/2006/relationships" ref="Z26" r:id="rId25"/>
    <hyperlink xmlns:r="http://schemas.openxmlformats.org/officeDocument/2006/relationships" ref="Z27" r:id="rId26"/>
    <hyperlink xmlns:r="http://schemas.openxmlformats.org/officeDocument/2006/relationships" ref="Z28" r:id="rId27"/>
    <hyperlink xmlns:r="http://schemas.openxmlformats.org/officeDocument/2006/relationships" ref="Z29" r:id="rId28"/>
    <hyperlink xmlns:r="http://schemas.openxmlformats.org/officeDocument/2006/relationships" ref="Z30" r:id="rId29"/>
    <hyperlink xmlns:r="http://schemas.openxmlformats.org/officeDocument/2006/relationships" ref="Z31" r:id="rId30"/>
    <hyperlink xmlns:r="http://schemas.openxmlformats.org/officeDocument/2006/relationships" ref="Z32" r:id="rId31"/>
    <hyperlink xmlns:r="http://schemas.openxmlformats.org/officeDocument/2006/relationships" ref="Z33" r:id="rId32"/>
    <hyperlink xmlns:r="http://schemas.openxmlformats.org/officeDocument/2006/relationships" ref="Z34" r:id="rId33"/>
    <hyperlink xmlns:r="http://schemas.openxmlformats.org/officeDocument/2006/relationships" ref="Z35" r:id="rId34"/>
    <hyperlink xmlns:r="http://schemas.openxmlformats.org/officeDocument/2006/relationships" ref="Z36" r:id="rId35"/>
    <hyperlink xmlns:r="http://schemas.openxmlformats.org/officeDocument/2006/relationships" ref="Z37" r:id="rId36"/>
    <hyperlink xmlns:r="http://schemas.openxmlformats.org/officeDocument/2006/relationships" ref="Z38" r:id="rId37"/>
    <hyperlink xmlns:r="http://schemas.openxmlformats.org/officeDocument/2006/relationships" ref="Z39" r:id="rId38"/>
    <hyperlink xmlns:r="http://schemas.openxmlformats.org/officeDocument/2006/relationships" ref="Z40" r:id="rId39"/>
    <hyperlink xmlns:r="http://schemas.openxmlformats.org/officeDocument/2006/relationships" ref="Z41" r:id="rId40"/>
    <hyperlink xmlns:r="http://schemas.openxmlformats.org/officeDocument/2006/relationships" ref="Z42" r:id="rId41"/>
    <hyperlink xmlns:r="http://schemas.openxmlformats.org/officeDocument/2006/relationships" ref="Z43" r:id="rId42"/>
    <hyperlink xmlns:r="http://schemas.openxmlformats.org/officeDocument/2006/relationships" ref="Z44" r:id="rId43"/>
    <hyperlink xmlns:r="http://schemas.openxmlformats.org/officeDocument/2006/relationships" ref="Z45" r:id="rId44"/>
    <hyperlink xmlns:r="http://schemas.openxmlformats.org/officeDocument/2006/relationships" ref="Z46" r:id="rId45"/>
    <hyperlink xmlns:r="http://schemas.openxmlformats.org/officeDocument/2006/relationships" ref="Z47" r:id="rId46"/>
    <hyperlink xmlns:r="http://schemas.openxmlformats.org/officeDocument/2006/relationships" ref="Z48" r:id="rId47"/>
    <hyperlink xmlns:r="http://schemas.openxmlformats.org/officeDocument/2006/relationships" ref="Z49" r:id="rId48"/>
    <hyperlink xmlns:r="http://schemas.openxmlformats.org/officeDocument/2006/relationships" ref="Z50" r:id="rId49"/>
    <hyperlink xmlns:r="http://schemas.openxmlformats.org/officeDocument/2006/relationships" ref="Z51" r:id="rId50"/>
    <hyperlink xmlns:r="http://schemas.openxmlformats.org/officeDocument/2006/relationships" ref="Z52" r:id="rId51"/>
    <hyperlink xmlns:r="http://schemas.openxmlformats.org/officeDocument/2006/relationships" ref="Z53" r:id="rId52"/>
    <hyperlink xmlns:r="http://schemas.openxmlformats.org/officeDocument/2006/relationships" ref="Z54" r:id="rId53"/>
    <hyperlink xmlns:r="http://schemas.openxmlformats.org/officeDocument/2006/relationships" ref="Z55" r:id="rId54"/>
    <hyperlink xmlns:r="http://schemas.openxmlformats.org/officeDocument/2006/relationships" ref="Z56" r:id="rId55"/>
    <hyperlink xmlns:r="http://schemas.openxmlformats.org/officeDocument/2006/relationships" ref="Z57" r:id="rId56"/>
    <hyperlink xmlns:r="http://schemas.openxmlformats.org/officeDocument/2006/relationships" ref="Z58" r:id="rId57"/>
    <hyperlink xmlns:r="http://schemas.openxmlformats.org/officeDocument/2006/relationships" ref="Z59" r:id="rId58"/>
    <hyperlink xmlns:r="http://schemas.openxmlformats.org/officeDocument/2006/relationships" ref="Z60" r:id="rId59"/>
    <hyperlink xmlns:r="http://schemas.openxmlformats.org/officeDocument/2006/relationships" ref="Z61" r:id="rId60"/>
    <hyperlink xmlns:r="http://schemas.openxmlformats.org/officeDocument/2006/relationships" ref="Z62" r:id="rId61"/>
    <hyperlink xmlns:r="http://schemas.openxmlformats.org/officeDocument/2006/relationships" ref="Z63" r:id="rId62"/>
    <hyperlink xmlns:r="http://schemas.openxmlformats.org/officeDocument/2006/relationships" ref="Z64" r:id="rId63"/>
    <hyperlink xmlns:r="http://schemas.openxmlformats.org/officeDocument/2006/relationships" ref="Z65" r:id="rId64"/>
    <hyperlink xmlns:r="http://schemas.openxmlformats.org/officeDocument/2006/relationships" ref="Z66" r:id="rId65"/>
    <hyperlink xmlns:r="http://schemas.openxmlformats.org/officeDocument/2006/relationships" ref="Z67" r:id="rId66"/>
    <hyperlink xmlns:r="http://schemas.openxmlformats.org/officeDocument/2006/relationships" ref="Z68" r:id="rId67"/>
    <hyperlink xmlns:r="http://schemas.openxmlformats.org/officeDocument/2006/relationships" ref="Z69" r:id="rId68"/>
    <hyperlink xmlns:r="http://schemas.openxmlformats.org/officeDocument/2006/relationships" ref="Z70" r:id="rId69"/>
    <hyperlink xmlns:r="http://schemas.openxmlformats.org/officeDocument/2006/relationships" ref="Z71" r:id="rId70"/>
    <hyperlink xmlns:r="http://schemas.openxmlformats.org/officeDocument/2006/relationships" ref="Z72" r:id="rId71"/>
    <hyperlink xmlns:r="http://schemas.openxmlformats.org/officeDocument/2006/relationships" ref="Z73" r:id="rId72"/>
    <hyperlink xmlns:r="http://schemas.openxmlformats.org/officeDocument/2006/relationships" ref="Z74" r:id="rId73"/>
    <hyperlink xmlns:r="http://schemas.openxmlformats.org/officeDocument/2006/relationships" ref="Z75" r:id="rId74"/>
    <hyperlink xmlns:r="http://schemas.openxmlformats.org/officeDocument/2006/relationships" ref="Z76" r:id="rId75"/>
    <hyperlink xmlns:r="http://schemas.openxmlformats.org/officeDocument/2006/relationships" ref="Z77" r:id="rId76"/>
    <hyperlink xmlns:r="http://schemas.openxmlformats.org/officeDocument/2006/relationships" ref="Z78" r:id="rId77"/>
    <hyperlink xmlns:r="http://schemas.openxmlformats.org/officeDocument/2006/relationships" ref="Z79" r:id="rId78"/>
    <hyperlink xmlns:r="http://schemas.openxmlformats.org/officeDocument/2006/relationships" ref="Z80" r:id="rId79"/>
    <hyperlink xmlns:r="http://schemas.openxmlformats.org/officeDocument/2006/relationships" ref="Z81" r:id="rId80"/>
    <hyperlink xmlns:r="http://schemas.openxmlformats.org/officeDocument/2006/relationships" ref="Z82" r:id="rId81"/>
    <hyperlink xmlns:r="http://schemas.openxmlformats.org/officeDocument/2006/relationships" ref="Z83" r:id="rId82"/>
    <hyperlink xmlns:r="http://schemas.openxmlformats.org/officeDocument/2006/relationships" ref="Z84" r:id="rId83"/>
    <hyperlink xmlns:r="http://schemas.openxmlformats.org/officeDocument/2006/relationships" ref="Z85" r:id="rId84"/>
    <hyperlink xmlns:r="http://schemas.openxmlformats.org/officeDocument/2006/relationships" ref="Z86" r:id="rId85"/>
    <hyperlink xmlns:r="http://schemas.openxmlformats.org/officeDocument/2006/relationships" ref="Z87" r:id="rId86"/>
    <hyperlink xmlns:r="http://schemas.openxmlformats.org/officeDocument/2006/relationships" ref="Z88" r:id="rId87"/>
    <hyperlink xmlns:r="http://schemas.openxmlformats.org/officeDocument/2006/relationships" ref="Z89" r:id="rId88"/>
    <hyperlink xmlns:r="http://schemas.openxmlformats.org/officeDocument/2006/relationships" ref="Z90" r:id="rId89"/>
    <hyperlink xmlns:r="http://schemas.openxmlformats.org/officeDocument/2006/relationships" ref="Z91" r:id="rId90"/>
    <hyperlink xmlns:r="http://schemas.openxmlformats.org/officeDocument/2006/relationships" ref="Z92" r:id="rId91"/>
    <hyperlink xmlns:r="http://schemas.openxmlformats.org/officeDocument/2006/relationships" ref="Z93" r:id="rId92"/>
    <hyperlink xmlns:r="http://schemas.openxmlformats.org/officeDocument/2006/relationships" ref="Z94" r:id="rId93"/>
    <hyperlink xmlns:r="http://schemas.openxmlformats.org/officeDocument/2006/relationships" ref="Z95" r:id="rId94"/>
    <hyperlink xmlns:r="http://schemas.openxmlformats.org/officeDocument/2006/relationships" ref="Z96" r:id="rId95"/>
    <hyperlink xmlns:r="http://schemas.openxmlformats.org/officeDocument/2006/relationships" ref="Z97" r:id="rId96"/>
    <hyperlink xmlns:r="http://schemas.openxmlformats.org/officeDocument/2006/relationships" ref="Z98" r:id="rId97"/>
    <hyperlink xmlns:r="http://schemas.openxmlformats.org/officeDocument/2006/relationships" ref="Z99" r:id="rId98"/>
    <hyperlink xmlns:r="http://schemas.openxmlformats.org/officeDocument/2006/relationships" ref="Z100" r:id="rId99"/>
    <hyperlink xmlns:r="http://schemas.openxmlformats.org/officeDocument/2006/relationships" ref="Z101" r:id="rId100"/>
    <hyperlink xmlns:r="http://schemas.openxmlformats.org/officeDocument/2006/relationships" ref="Z102" r:id="rId101"/>
    <hyperlink xmlns:r="http://schemas.openxmlformats.org/officeDocument/2006/relationships" ref="Z103" r:id="rId102"/>
    <hyperlink xmlns:r="http://schemas.openxmlformats.org/officeDocument/2006/relationships" ref="Z104" r:id="rId103"/>
    <hyperlink xmlns:r="http://schemas.openxmlformats.org/officeDocument/2006/relationships" ref="Z105" r:id="rId104"/>
    <hyperlink xmlns:r="http://schemas.openxmlformats.org/officeDocument/2006/relationships" ref="Z106" r:id="rId105"/>
    <hyperlink xmlns:r="http://schemas.openxmlformats.org/officeDocument/2006/relationships" ref="Z107" r:id="rId106"/>
    <hyperlink xmlns:r="http://schemas.openxmlformats.org/officeDocument/2006/relationships" ref="Z108" r:id="rId107"/>
    <hyperlink xmlns:r="http://schemas.openxmlformats.org/officeDocument/2006/relationships" ref="Z109" r:id="rId108"/>
    <hyperlink xmlns:r="http://schemas.openxmlformats.org/officeDocument/2006/relationships" ref="Z110" r:id="rId109"/>
    <hyperlink xmlns:r="http://schemas.openxmlformats.org/officeDocument/2006/relationships" ref="Z111" r:id="rId110"/>
    <hyperlink xmlns:r="http://schemas.openxmlformats.org/officeDocument/2006/relationships" ref="Z112" r:id="rId111"/>
    <hyperlink xmlns:r="http://schemas.openxmlformats.org/officeDocument/2006/relationships" ref="Z113" r:id="rId112"/>
    <hyperlink xmlns:r="http://schemas.openxmlformats.org/officeDocument/2006/relationships" ref="Z114" r:id="rId113"/>
    <hyperlink xmlns:r="http://schemas.openxmlformats.org/officeDocument/2006/relationships" ref="Z115" r:id="rId114"/>
    <hyperlink xmlns:r="http://schemas.openxmlformats.org/officeDocument/2006/relationships" ref="Z116" r:id="rId115"/>
    <hyperlink xmlns:r="http://schemas.openxmlformats.org/officeDocument/2006/relationships" ref="Z117" r:id="rId116"/>
    <hyperlink xmlns:r="http://schemas.openxmlformats.org/officeDocument/2006/relationships" ref="Z118" r:id="rId117"/>
    <hyperlink xmlns:r="http://schemas.openxmlformats.org/officeDocument/2006/relationships" ref="Z119" r:id="rId118"/>
    <hyperlink xmlns:r="http://schemas.openxmlformats.org/officeDocument/2006/relationships" ref="Z120" r:id="rId119"/>
    <hyperlink xmlns:r="http://schemas.openxmlformats.org/officeDocument/2006/relationships" ref="Z121" r:id="rId120"/>
    <hyperlink xmlns:r="http://schemas.openxmlformats.org/officeDocument/2006/relationships" ref="Z122" r:id="rId121"/>
    <hyperlink xmlns:r="http://schemas.openxmlformats.org/officeDocument/2006/relationships" ref="Z123" r:id="rId122"/>
    <hyperlink xmlns:r="http://schemas.openxmlformats.org/officeDocument/2006/relationships" ref="Z124" r:id="rId123"/>
    <hyperlink xmlns:r="http://schemas.openxmlformats.org/officeDocument/2006/relationships" ref="Z125" r:id="rId124"/>
    <hyperlink xmlns:r="http://schemas.openxmlformats.org/officeDocument/2006/relationships" ref="Z126" r:id="rId125"/>
    <hyperlink xmlns:r="http://schemas.openxmlformats.org/officeDocument/2006/relationships" ref="Z127" r:id="rId126"/>
    <hyperlink xmlns:r="http://schemas.openxmlformats.org/officeDocument/2006/relationships" ref="Z128" r:id="rId127"/>
    <hyperlink xmlns:r="http://schemas.openxmlformats.org/officeDocument/2006/relationships" ref="Z129" r:id="rId128"/>
    <hyperlink xmlns:r="http://schemas.openxmlformats.org/officeDocument/2006/relationships" ref="Z130" r:id="rId129"/>
    <hyperlink xmlns:r="http://schemas.openxmlformats.org/officeDocument/2006/relationships" ref="Z131" r:id="rId130"/>
    <hyperlink xmlns:r="http://schemas.openxmlformats.org/officeDocument/2006/relationships" ref="Z132" r:id="rId131"/>
    <hyperlink xmlns:r="http://schemas.openxmlformats.org/officeDocument/2006/relationships" ref="Z133" r:id="rId132"/>
    <hyperlink xmlns:r="http://schemas.openxmlformats.org/officeDocument/2006/relationships" ref="Z134" r:id="rId133"/>
    <hyperlink xmlns:r="http://schemas.openxmlformats.org/officeDocument/2006/relationships" ref="Z135" r:id="rId134"/>
    <hyperlink xmlns:r="http://schemas.openxmlformats.org/officeDocument/2006/relationships" ref="Z136" r:id="rId135"/>
    <hyperlink xmlns:r="http://schemas.openxmlformats.org/officeDocument/2006/relationships" ref="Z137" r:id="rId136"/>
    <hyperlink xmlns:r="http://schemas.openxmlformats.org/officeDocument/2006/relationships" ref="Z138" r:id="rId137"/>
    <hyperlink xmlns:r="http://schemas.openxmlformats.org/officeDocument/2006/relationships" ref="Z139" r:id="rId138"/>
    <hyperlink xmlns:r="http://schemas.openxmlformats.org/officeDocument/2006/relationships" ref="Z140" r:id="rId139"/>
    <hyperlink xmlns:r="http://schemas.openxmlformats.org/officeDocument/2006/relationships" ref="Z141" r:id="rId140"/>
    <hyperlink xmlns:r="http://schemas.openxmlformats.org/officeDocument/2006/relationships" ref="Z142" r:id="rId141"/>
    <hyperlink xmlns:r="http://schemas.openxmlformats.org/officeDocument/2006/relationships" ref="Z143" r:id="rId142"/>
    <hyperlink xmlns:r="http://schemas.openxmlformats.org/officeDocument/2006/relationships" ref="Z144" r:id="rId143"/>
    <hyperlink xmlns:r="http://schemas.openxmlformats.org/officeDocument/2006/relationships" ref="Z145" r:id="rId144"/>
    <hyperlink xmlns:r="http://schemas.openxmlformats.org/officeDocument/2006/relationships" ref="Z146" r:id="rId145"/>
    <hyperlink xmlns:r="http://schemas.openxmlformats.org/officeDocument/2006/relationships" ref="Z147" r:id="rId146"/>
    <hyperlink xmlns:r="http://schemas.openxmlformats.org/officeDocument/2006/relationships" ref="Z148" r:id="rId147"/>
    <hyperlink xmlns:r="http://schemas.openxmlformats.org/officeDocument/2006/relationships" ref="Z149" r:id="rId148"/>
    <hyperlink xmlns:r="http://schemas.openxmlformats.org/officeDocument/2006/relationships" ref="Z150" r:id="rId149"/>
    <hyperlink xmlns:r="http://schemas.openxmlformats.org/officeDocument/2006/relationships" ref="Z151" r:id="rId150"/>
    <hyperlink xmlns:r="http://schemas.openxmlformats.org/officeDocument/2006/relationships" ref="Z152" r:id="rId151"/>
    <hyperlink xmlns:r="http://schemas.openxmlformats.org/officeDocument/2006/relationships" ref="Z153" r:id="rId152"/>
    <hyperlink xmlns:r="http://schemas.openxmlformats.org/officeDocument/2006/relationships" ref="Z154" r:id="rId153"/>
    <hyperlink xmlns:r="http://schemas.openxmlformats.org/officeDocument/2006/relationships" ref="Z155" r:id="rId154"/>
    <hyperlink xmlns:r="http://schemas.openxmlformats.org/officeDocument/2006/relationships" ref="Z156" r:id="rId155"/>
    <hyperlink xmlns:r="http://schemas.openxmlformats.org/officeDocument/2006/relationships" ref="Z157" r:id="rId156"/>
    <hyperlink xmlns:r="http://schemas.openxmlformats.org/officeDocument/2006/relationships" ref="Z158" r:id="rId157"/>
    <hyperlink xmlns:r="http://schemas.openxmlformats.org/officeDocument/2006/relationships" ref="Z159" r:id="rId158"/>
    <hyperlink xmlns:r="http://schemas.openxmlformats.org/officeDocument/2006/relationships" ref="Z160" r:id="rId159"/>
    <hyperlink xmlns:r="http://schemas.openxmlformats.org/officeDocument/2006/relationships" ref="Z161" r:id="rId160"/>
    <hyperlink xmlns:r="http://schemas.openxmlformats.org/officeDocument/2006/relationships" ref="Z162" r:id="rId161"/>
    <hyperlink xmlns:r="http://schemas.openxmlformats.org/officeDocument/2006/relationships" ref="Z163" r:id="rId162"/>
    <hyperlink xmlns:r="http://schemas.openxmlformats.org/officeDocument/2006/relationships" ref="Z164" r:id="rId163"/>
    <hyperlink xmlns:r="http://schemas.openxmlformats.org/officeDocument/2006/relationships" ref="Z165" r:id="rId164"/>
    <hyperlink xmlns:r="http://schemas.openxmlformats.org/officeDocument/2006/relationships" ref="Z166" r:id="rId165"/>
    <hyperlink xmlns:r="http://schemas.openxmlformats.org/officeDocument/2006/relationships" ref="Z167" r:id="rId166"/>
    <hyperlink xmlns:r="http://schemas.openxmlformats.org/officeDocument/2006/relationships" ref="Z168" r:id="rId167"/>
    <hyperlink xmlns:r="http://schemas.openxmlformats.org/officeDocument/2006/relationships" ref="Z169" r:id="rId168"/>
    <hyperlink xmlns:r="http://schemas.openxmlformats.org/officeDocument/2006/relationships" ref="Z170" r:id="rId169"/>
    <hyperlink xmlns:r="http://schemas.openxmlformats.org/officeDocument/2006/relationships" ref="Z171" r:id="rId170"/>
    <hyperlink xmlns:r="http://schemas.openxmlformats.org/officeDocument/2006/relationships" ref="Z172" r:id="rId171"/>
    <hyperlink xmlns:r="http://schemas.openxmlformats.org/officeDocument/2006/relationships" ref="Z173" r:id="rId172"/>
    <hyperlink xmlns:r="http://schemas.openxmlformats.org/officeDocument/2006/relationships" ref="Z174" r:id="rId173"/>
    <hyperlink xmlns:r="http://schemas.openxmlformats.org/officeDocument/2006/relationships" ref="Z175" r:id="rId174"/>
    <hyperlink xmlns:r="http://schemas.openxmlformats.org/officeDocument/2006/relationships" ref="Z176" r:id="rId175"/>
    <hyperlink xmlns:r="http://schemas.openxmlformats.org/officeDocument/2006/relationships" ref="Z177" r:id="rId176"/>
    <hyperlink xmlns:r="http://schemas.openxmlformats.org/officeDocument/2006/relationships" ref="Z178" r:id="rId177"/>
    <hyperlink xmlns:r="http://schemas.openxmlformats.org/officeDocument/2006/relationships" ref="Z179" r:id="rId178"/>
    <hyperlink xmlns:r="http://schemas.openxmlformats.org/officeDocument/2006/relationships" ref="Z180" r:id="rId179"/>
    <hyperlink xmlns:r="http://schemas.openxmlformats.org/officeDocument/2006/relationships" ref="Z181" r:id="rId180"/>
    <hyperlink xmlns:r="http://schemas.openxmlformats.org/officeDocument/2006/relationships" ref="Z182" r:id="rId181"/>
    <hyperlink xmlns:r="http://schemas.openxmlformats.org/officeDocument/2006/relationships" ref="Z183" r:id="rId182"/>
    <hyperlink xmlns:r="http://schemas.openxmlformats.org/officeDocument/2006/relationships" ref="Z184" r:id="rId183"/>
    <hyperlink xmlns:r="http://schemas.openxmlformats.org/officeDocument/2006/relationships" ref="Z185" r:id="rId184"/>
    <hyperlink xmlns:r="http://schemas.openxmlformats.org/officeDocument/2006/relationships" ref="Z186" r:id="rId185"/>
    <hyperlink xmlns:r="http://schemas.openxmlformats.org/officeDocument/2006/relationships" ref="Z187" r:id="rId186"/>
    <hyperlink xmlns:r="http://schemas.openxmlformats.org/officeDocument/2006/relationships" ref="Z188" r:id="rId187"/>
    <hyperlink xmlns:r="http://schemas.openxmlformats.org/officeDocument/2006/relationships" ref="Z189" r:id="rId188"/>
    <hyperlink xmlns:r="http://schemas.openxmlformats.org/officeDocument/2006/relationships" ref="Z190" r:id="rId189"/>
    <hyperlink xmlns:r="http://schemas.openxmlformats.org/officeDocument/2006/relationships" ref="Z191" r:id="rId190"/>
    <hyperlink xmlns:r="http://schemas.openxmlformats.org/officeDocument/2006/relationships" ref="Z192" r:id="rId191"/>
    <hyperlink xmlns:r="http://schemas.openxmlformats.org/officeDocument/2006/relationships" ref="Z193" r:id="rId192"/>
    <hyperlink xmlns:r="http://schemas.openxmlformats.org/officeDocument/2006/relationships" ref="Z194" r:id="rId193"/>
    <hyperlink xmlns:r="http://schemas.openxmlformats.org/officeDocument/2006/relationships" ref="Z195" r:id="rId194"/>
    <hyperlink xmlns:r="http://schemas.openxmlformats.org/officeDocument/2006/relationships" ref="Z196" r:id="rId195"/>
    <hyperlink xmlns:r="http://schemas.openxmlformats.org/officeDocument/2006/relationships" ref="Z197" r:id="rId196"/>
    <hyperlink xmlns:r="http://schemas.openxmlformats.org/officeDocument/2006/relationships" ref="Z198" r:id="rId197"/>
    <hyperlink xmlns:r="http://schemas.openxmlformats.org/officeDocument/2006/relationships" ref="Z199" r:id="rId198"/>
    <hyperlink xmlns:r="http://schemas.openxmlformats.org/officeDocument/2006/relationships" ref="Z200" r:id="rId199"/>
    <hyperlink xmlns:r="http://schemas.openxmlformats.org/officeDocument/2006/relationships" ref="Z201" r:id="rId200"/>
    <hyperlink xmlns:r="http://schemas.openxmlformats.org/officeDocument/2006/relationships" ref="Z202" r:id="rId201"/>
    <hyperlink xmlns:r="http://schemas.openxmlformats.org/officeDocument/2006/relationships" ref="Z203" r:id="rId202"/>
    <hyperlink xmlns:r="http://schemas.openxmlformats.org/officeDocument/2006/relationships" ref="Z204" r:id="rId203"/>
    <hyperlink xmlns:r="http://schemas.openxmlformats.org/officeDocument/2006/relationships" ref="Z205" r:id="rId204"/>
    <hyperlink xmlns:r="http://schemas.openxmlformats.org/officeDocument/2006/relationships" ref="Z206" r:id="rId205"/>
    <hyperlink xmlns:r="http://schemas.openxmlformats.org/officeDocument/2006/relationships" ref="Z207" r:id="rId206"/>
    <hyperlink xmlns:r="http://schemas.openxmlformats.org/officeDocument/2006/relationships" ref="Z208" r:id="rId207"/>
    <hyperlink xmlns:r="http://schemas.openxmlformats.org/officeDocument/2006/relationships" ref="Z209" r:id="rId208"/>
    <hyperlink xmlns:r="http://schemas.openxmlformats.org/officeDocument/2006/relationships" ref="Z210" r:id="rId209"/>
    <hyperlink xmlns:r="http://schemas.openxmlformats.org/officeDocument/2006/relationships" ref="Z211" r:id="rId210"/>
    <hyperlink xmlns:r="http://schemas.openxmlformats.org/officeDocument/2006/relationships" ref="Z212" r:id="rId211"/>
    <hyperlink xmlns:r="http://schemas.openxmlformats.org/officeDocument/2006/relationships" ref="Z213" r:id="rId212"/>
    <hyperlink xmlns:r="http://schemas.openxmlformats.org/officeDocument/2006/relationships" ref="Z214" r:id="rId213"/>
    <hyperlink xmlns:r="http://schemas.openxmlformats.org/officeDocument/2006/relationships" ref="Z215" r:id="rId214"/>
    <hyperlink xmlns:r="http://schemas.openxmlformats.org/officeDocument/2006/relationships" ref="Z216" r:id="rId215"/>
    <hyperlink xmlns:r="http://schemas.openxmlformats.org/officeDocument/2006/relationships" ref="Z217" r:id="rId216"/>
    <hyperlink xmlns:r="http://schemas.openxmlformats.org/officeDocument/2006/relationships" ref="Z218" r:id="rId217"/>
    <hyperlink xmlns:r="http://schemas.openxmlformats.org/officeDocument/2006/relationships" ref="Z219" r:id="rId218"/>
    <hyperlink xmlns:r="http://schemas.openxmlformats.org/officeDocument/2006/relationships" ref="Z220" r:id="rId219"/>
    <hyperlink xmlns:r="http://schemas.openxmlformats.org/officeDocument/2006/relationships" ref="Z221" r:id="rId220"/>
    <hyperlink xmlns:r="http://schemas.openxmlformats.org/officeDocument/2006/relationships" ref="Z222" r:id="rId221"/>
    <hyperlink xmlns:r="http://schemas.openxmlformats.org/officeDocument/2006/relationships" ref="Z223" r:id="rId222"/>
    <hyperlink xmlns:r="http://schemas.openxmlformats.org/officeDocument/2006/relationships" ref="Z224" r:id="rId223"/>
    <hyperlink xmlns:r="http://schemas.openxmlformats.org/officeDocument/2006/relationships" ref="Z225" r:id="rId224"/>
    <hyperlink xmlns:r="http://schemas.openxmlformats.org/officeDocument/2006/relationships" ref="Z226" r:id="rId225"/>
    <hyperlink xmlns:r="http://schemas.openxmlformats.org/officeDocument/2006/relationships" ref="Z227" r:id="rId226"/>
    <hyperlink xmlns:r="http://schemas.openxmlformats.org/officeDocument/2006/relationships" ref="Z228" r:id="rId227"/>
    <hyperlink xmlns:r="http://schemas.openxmlformats.org/officeDocument/2006/relationships" ref="Z229" r:id="rId228"/>
    <hyperlink xmlns:r="http://schemas.openxmlformats.org/officeDocument/2006/relationships" ref="Z230" r:id="rId229"/>
    <hyperlink xmlns:r="http://schemas.openxmlformats.org/officeDocument/2006/relationships" ref="Z231" r:id="rId230"/>
    <hyperlink xmlns:r="http://schemas.openxmlformats.org/officeDocument/2006/relationships" ref="Z232" r:id="rId231"/>
    <hyperlink xmlns:r="http://schemas.openxmlformats.org/officeDocument/2006/relationships" ref="Z233" r:id="rId232"/>
    <hyperlink xmlns:r="http://schemas.openxmlformats.org/officeDocument/2006/relationships" ref="Z234" r:id="rId233"/>
    <hyperlink xmlns:r="http://schemas.openxmlformats.org/officeDocument/2006/relationships" ref="Z235" r:id="rId234"/>
    <hyperlink xmlns:r="http://schemas.openxmlformats.org/officeDocument/2006/relationships" ref="Z236" r:id="rId235"/>
    <hyperlink xmlns:r="http://schemas.openxmlformats.org/officeDocument/2006/relationships" ref="Z237" r:id="rId236"/>
    <hyperlink xmlns:r="http://schemas.openxmlformats.org/officeDocument/2006/relationships" ref="Z238" r:id="rId237"/>
    <hyperlink xmlns:r="http://schemas.openxmlformats.org/officeDocument/2006/relationships" ref="Z239" r:id="rId238"/>
    <hyperlink xmlns:r="http://schemas.openxmlformats.org/officeDocument/2006/relationships" ref="Z240" r:id="rId239"/>
    <hyperlink xmlns:r="http://schemas.openxmlformats.org/officeDocument/2006/relationships" ref="Z241" r:id="rId240"/>
    <hyperlink xmlns:r="http://schemas.openxmlformats.org/officeDocument/2006/relationships" ref="Z242" r:id="rId241"/>
    <hyperlink xmlns:r="http://schemas.openxmlformats.org/officeDocument/2006/relationships" ref="Z243" r:id="rId242"/>
    <hyperlink xmlns:r="http://schemas.openxmlformats.org/officeDocument/2006/relationships" ref="Z244" r:id="rId243"/>
    <hyperlink xmlns:r="http://schemas.openxmlformats.org/officeDocument/2006/relationships" ref="Z245" r:id="rId244"/>
    <hyperlink xmlns:r="http://schemas.openxmlformats.org/officeDocument/2006/relationships" ref="Z246" r:id="rId245"/>
    <hyperlink xmlns:r="http://schemas.openxmlformats.org/officeDocument/2006/relationships" ref="Z247" r:id="rId246"/>
    <hyperlink xmlns:r="http://schemas.openxmlformats.org/officeDocument/2006/relationships" ref="Z248" r:id="rId247"/>
    <hyperlink xmlns:r="http://schemas.openxmlformats.org/officeDocument/2006/relationships" ref="Z249" r:id="rId248"/>
    <hyperlink xmlns:r="http://schemas.openxmlformats.org/officeDocument/2006/relationships" ref="Z250" r:id="rId249"/>
    <hyperlink xmlns:r="http://schemas.openxmlformats.org/officeDocument/2006/relationships" ref="Z251" r:id="rId250"/>
    <hyperlink xmlns:r="http://schemas.openxmlformats.org/officeDocument/2006/relationships" ref="Z252" r:id="rId251"/>
    <hyperlink xmlns:r="http://schemas.openxmlformats.org/officeDocument/2006/relationships" ref="Z253" r:id="rId252"/>
    <hyperlink xmlns:r="http://schemas.openxmlformats.org/officeDocument/2006/relationships" ref="Z254" r:id="rId253"/>
    <hyperlink xmlns:r="http://schemas.openxmlformats.org/officeDocument/2006/relationships" ref="Z255" r:id="rId254"/>
    <hyperlink xmlns:r="http://schemas.openxmlformats.org/officeDocument/2006/relationships" ref="Z256" r:id="rId255"/>
    <hyperlink xmlns:r="http://schemas.openxmlformats.org/officeDocument/2006/relationships" ref="Z257" r:id="rId256"/>
    <hyperlink xmlns:r="http://schemas.openxmlformats.org/officeDocument/2006/relationships" ref="Z258" r:id="rId257"/>
    <hyperlink xmlns:r="http://schemas.openxmlformats.org/officeDocument/2006/relationships" ref="Z259" r:id="rId258"/>
    <hyperlink xmlns:r="http://schemas.openxmlformats.org/officeDocument/2006/relationships" ref="Z260" r:id="rId259"/>
    <hyperlink xmlns:r="http://schemas.openxmlformats.org/officeDocument/2006/relationships" ref="Z261" r:id="rId260"/>
    <hyperlink xmlns:r="http://schemas.openxmlformats.org/officeDocument/2006/relationships" ref="Z262" r:id="rId261"/>
    <hyperlink xmlns:r="http://schemas.openxmlformats.org/officeDocument/2006/relationships" ref="Z263" r:id="rId262"/>
    <hyperlink xmlns:r="http://schemas.openxmlformats.org/officeDocument/2006/relationships" ref="Z264" r:id="rId263"/>
    <hyperlink xmlns:r="http://schemas.openxmlformats.org/officeDocument/2006/relationships" ref="Z265" r:id="rId264"/>
    <hyperlink xmlns:r="http://schemas.openxmlformats.org/officeDocument/2006/relationships" ref="Z266" r:id="rId265"/>
    <hyperlink xmlns:r="http://schemas.openxmlformats.org/officeDocument/2006/relationships" ref="Z267" r:id="rId266"/>
    <hyperlink xmlns:r="http://schemas.openxmlformats.org/officeDocument/2006/relationships" ref="Z268" r:id="rId267"/>
    <hyperlink xmlns:r="http://schemas.openxmlformats.org/officeDocument/2006/relationships" ref="Z269" r:id="rId268"/>
    <hyperlink xmlns:r="http://schemas.openxmlformats.org/officeDocument/2006/relationships" ref="Z270" r:id="rId269"/>
    <hyperlink xmlns:r="http://schemas.openxmlformats.org/officeDocument/2006/relationships" ref="Z271" r:id="rId270"/>
    <hyperlink xmlns:r="http://schemas.openxmlformats.org/officeDocument/2006/relationships" ref="Z272" r:id="rId271"/>
    <hyperlink xmlns:r="http://schemas.openxmlformats.org/officeDocument/2006/relationships" ref="Z273" r:id="rId272"/>
    <hyperlink xmlns:r="http://schemas.openxmlformats.org/officeDocument/2006/relationships" ref="Z274" r:id="rId273"/>
    <hyperlink xmlns:r="http://schemas.openxmlformats.org/officeDocument/2006/relationships" ref="Z275" r:id="rId274"/>
    <hyperlink xmlns:r="http://schemas.openxmlformats.org/officeDocument/2006/relationships" ref="Z276" r:id="rId275"/>
    <hyperlink xmlns:r="http://schemas.openxmlformats.org/officeDocument/2006/relationships" ref="Z277" r:id="rId276"/>
    <hyperlink xmlns:r="http://schemas.openxmlformats.org/officeDocument/2006/relationships" ref="Z278" r:id="rId277"/>
    <hyperlink xmlns:r="http://schemas.openxmlformats.org/officeDocument/2006/relationships" ref="Z279" r:id="rId278"/>
    <hyperlink xmlns:r="http://schemas.openxmlformats.org/officeDocument/2006/relationships" ref="Z280" r:id="rId279"/>
    <hyperlink xmlns:r="http://schemas.openxmlformats.org/officeDocument/2006/relationships" ref="Z281" r:id="rId280"/>
    <hyperlink xmlns:r="http://schemas.openxmlformats.org/officeDocument/2006/relationships" ref="Z282" r:id="rId281"/>
    <hyperlink xmlns:r="http://schemas.openxmlformats.org/officeDocument/2006/relationships" ref="Z283" r:id="rId282"/>
    <hyperlink xmlns:r="http://schemas.openxmlformats.org/officeDocument/2006/relationships" ref="Z284" r:id="rId283"/>
    <hyperlink xmlns:r="http://schemas.openxmlformats.org/officeDocument/2006/relationships" ref="Z285" r:id="rId284"/>
    <hyperlink xmlns:r="http://schemas.openxmlformats.org/officeDocument/2006/relationships" ref="Z286" r:id="rId285"/>
    <hyperlink xmlns:r="http://schemas.openxmlformats.org/officeDocument/2006/relationships" ref="Z287" r:id="rId286"/>
    <hyperlink xmlns:r="http://schemas.openxmlformats.org/officeDocument/2006/relationships" ref="Z288" r:id="rId287"/>
    <hyperlink xmlns:r="http://schemas.openxmlformats.org/officeDocument/2006/relationships" ref="Z289" r:id="rId288"/>
    <hyperlink xmlns:r="http://schemas.openxmlformats.org/officeDocument/2006/relationships" ref="Z290" r:id="rId289"/>
    <hyperlink xmlns:r="http://schemas.openxmlformats.org/officeDocument/2006/relationships" ref="Z291" r:id="rId290"/>
    <hyperlink xmlns:r="http://schemas.openxmlformats.org/officeDocument/2006/relationships" ref="Z292" r:id="rId291"/>
    <hyperlink xmlns:r="http://schemas.openxmlformats.org/officeDocument/2006/relationships" ref="Z293" r:id="rId292"/>
    <hyperlink xmlns:r="http://schemas.openxmlformats.org/officeDocument/2006/relationships" ref="Z294" r:id="rId293"/>
    <hyperlink xmlns:r="http://schemas.openxmlformats.org/officeDocument/2006/relationships" ref="Z295" r:id="rId294"/>
    <hyperlink xmlns:r="http://schemas.openxmlformats.org/officeDocument/2006/relationships" ref="Z296" r:id="rId295"/>
    <hyperlink xmlns:r="http://schemas.openxmlformats.org/officeDocument/2006/relationships" ref="Z297" r:id="rId296"/>
    <hyperlink xmlns:r="http://schemas.openxmlformats.org/officeDocument/2006/relationships" ref="Z298" r:id="rId297"/>
    <hyperlink xmlns:r="http://schemas.openxmlformats.org/officeDocument/2006/relationships" ref="Z299" r:id="rId298"/>
    <hyperlink xmlns:r="http://schemas.openxmlformats.org/officeDocument/2006/relationships" ref="Z300" r:id="rId299"/>
    <hyperlink xmlns:r="http://schemas.openxmlformats.org/officeDocument/2006/relationships" ref="Z301" r:id="rId300"/>
    <hyperlink xmlns:r="http://schemas.openxmlformats.org/officeDocument/2006/relationships" ref="Z302" r:id="rId301"/>
    <hyperlink xmlns:r="http://schemas.openxmlformats.org/officeDocument/2006/relationships" ref="Z303" r:id="rId302"/>
    <hyperlink xmlns:r="http://schemas.openxmlformats.org/officeDocument/2006/relationships" ref="Z304" r:id="rId303"/>
    <hyperlink xmlns:r="http://schemas.openxmlformats.org/officeDocument/2006/relationships" ref="Z305" r:id="rId304"/>
    <hyperlink xmlns:r="http://schemas.openxmlformats.org/officeDocument/2006/relationships" ref="Z306" r:id="rId305"/>
    <hyperlink xmlns:r="http://schemas.openxmlformats.org/officeDocument/2006/relationships" ref="Z307" r:id="rId306"/>
    <hyperlink xmlns:r="http://schemas.openxmlformats.org/officeDocument/2006/relationships" ref="Z308" r:id="rId307"/>
    <hyperlink xmlns:r="http://schemas.openxmlformats.org/officeDocument/2006/relationships" ref="Z309" r:id="rId308"/>
    <hyperlink xmlns:r="http://schemas.openxmlformats.org/officeDocument/2006/relationships" ref="Z310" r:id="rId309"/>
    <hyperlink xmlns:r="http://schemas.openxmlformats.org/officeDocument/2006/relationships" ref="Z311" r:id="rId310"/>
    <hyperlink xmlns:r="http://schemas.openxmlformats.org/officeDocument/2006/relationships" ref="Z312" r:id="rId311"/>
    <hyperlink xmlns:r="http://schemas.openxmlformats.org/officeDocument/2006/relationships" ref="Z313" r:id="rId312"/>
    <hyperlink xmlns:r="http://schemas.openxmlformats.org/officeDocument/2006/relationships" ref="Z314" r:id="rId313"/>
    <hyperlink xmlns:r="http://schemas.openxmlformats.org/officeDocument/2006/relationships" ref="Z315" r:id="rId314"/>
    <hyperlink xmlns:r="http://schemas.openxmlformats.org/officeDocument/2006/relationships" ref="Z316" r:id="rId315"/>
    <hyperlink xmlns:r="http://schemas.openxmlformats.org/officeDocument/2006/relationships" ref="Z317" r:id="rId316"/>
    <hyperlink xmlns:r="http://schemas.openxmlformats.org/officeDocument/2006/relationships" ref="Z318" r:id="rId317"/>
    <hyperlink xmlns:r="http://schemas.openxmlformats.org/officeDocument/2006/relationships" ref="Z319" r:id="rId318"/>
    <hyperlink xmlns:r="http://schemas.openxmlformats.org/officeDocument/2006/relationships" ref="Z320" r:id="rId319"/>
    <hyperlink xmlns:r="http://schemas.openxmlformats.org/officeDocument/2006/relationships" ref="Z321" r:id="rId320"/>
    <hyperlink xmlns:r="http://schemas.openxmlformats.org/officeDocument/2006/relationships" ref="Z322" r:id="rId321"/>
    <hyperlink xmlns:r="http://schemas.openxmlformats.org/officeDocument/2006/relationships" ref="Z323" r:id="rId322"/>
    <hyperlink xmlns:r="http://schemas.openxmlformats.org/officeDocument/2006/relationships" ref="Z324" r:id="rId323"/>
    <hyperlink xmlns:r="http://schemas.openxmlformats.org/officeDocument/2006/relationships" ref="Z325" r:id="rId324"/>
    <hyperlink xmlns:r="http://schemas.openxmlformats.org/officeDocument/2006/relationships" ref="Z326" r:id="rId325"/>
    <hyperlink xmlns:r="http://schemas.openxmlformats.org/officeDocument/2006/relationships" ref="Z327" r:id="rId326"/>
    <hyperlink xmlns:r="http://schemas.openxmlformats.org/officeDocument/2006/relationships" ref="Z328" r:id="rId327"/>
    <hyperlink xmlns:r="http://schemas.openxmlformats.org/officeDocument/2006/relationships" ref="Z329" r:id="rId328"/>
    <hyperlink xmlns:r="http://schemas.openxmlformats.org/officeDocument/2006/relationships" ref="Z330" r:id="rId329"/>
    <hyperlink xmlns:r="http://schemas.openxmlformats.org/officeDocument/2006/relationships" ref="Z331" r:id="rId330"/>
    <hyperlink xmlns:r="http://schemas.openxmlformats.org/officeDocument/2006/relationships" ref="Z332" r:id="rId331"/>
    <hyperlink xmlns:r="http://schemas.openxmlformats.org/officeDocument/2006/relationships" ref="Z333" r:id="rId332"/>
    <hyperlink xmlns:r="http://schemas.openxmlformats.org/officeDocument/2006/relationships" ref="Z334" r:id="rId333"/>
    <hyperlink xmlns:r="http://schemas.openxmlformats.org/officeDocument/2006/relationships" ref="Z335" r:id="rId334"/>
    <hyperlink xmlns:r="http://schemas.openxmlformats.org/officeDocument/2006/relationships" ref="Z336" r:id="rId335"/>
    <hyperlink xmlns:r="http://schemas.openxmlformats.org/officeDocument/2006/relationships" ref="Z337" r:id="rId336"/>
    <hyperlink xmlns:r="http://schemas.openxmlformats.org/officeDocument/2006/relationships" ref="Z338" r:id="rId337"/>
    <hyperlink xmlns:r="http://schemas.openxmlformats.org/officeDocument/2006/relationships" ref="Z339" r:id="rId338"/>
    <hyperlink xmlns:r="http://schemas.openxmlformats.org/officeDocument/2006/relationships" ref="Z340" r:id="rId339"/>
    <hyperlink xmlns:r="http://schemas.openxmlformats.org/officeDocument/2006/relationships" ref="Z341" r:id="rId340"/>
    <hyperlink xmlns:r="http://schemas.openxmlformats.org/officeDocument/2006/relationships" ref="Z342" r:id="rId341"/>
    <hyperlink xmlns:r="http://schemas.openxmlformats.org/officeDocument/2006/relationships" ref="Z343" r:id="rId342"/>
    <hyperlink xmlns:r="http://schemas.openxmlformats.org/officeDocument/2006/relationships" ref="Z344" r:id="rId343"/>
    <hyperlink xmlns:r="http://schemas.openxmlformats.org/officeDocument/2006/relationships" ref="Z345" r:id="rId344"/>
    <hyperlink xmlns:r="http://schemas.openxmlformats.org/officeDocument/2006/relationships" ref="Z346" r:id="rId345"/>
    <hyperlink xmlns:r="http://schemas.openxmlformats.org/officeDocument/2006/relationships" ref="Z347" r:id="rId346"/>
    <hyperlink xmlns:r="http://schemas.openxmlformats.org/officeDocument/2006/relationships" ref="Z348" r:id="rId347"/>
    <hyperlink xmlns:r="http://schemas.openxmlformats.org/officeDocument/2006/relationships" ref="Z349" r:id="rId348"/>
    <hyperlink xmlns:r="http://schemas.openxmlformats.org/officeDocument/2006/relationships" ref="Z350" r:id="rId349"/>
    <hyperlink xmlns:r="http://schemas.openxmlformats.org/officeDocument/2006/relationships" ref="Z351" r:id="rId350"/>
    <hyperlink xmlns:r="http://schemas.openxmlformats.org/officeDocument/2006/relationships" ref="Z352" r:id="rId351"/>
    <hyperlink xmlns:r="http://schemas.openxmlformats.org/officeDocument/2006/relationships" ref="Z353" r:id="rId352"/>
    <hyperlink xmlns:r="http://schemas.openxmlformats.org/officeDocument/2006/relationships" ref="Z354" r:id="rId353"/>
    <hyperlink xmlns:r="http://schemas.openxmlformats.org/officeDocument/2006/relationships" ref="Z355" r:id="rId354"/>
    <hyperlink xmlns:r="http://schemas.openxmlformats.org/officeDocument/2006/relationships" ref="Z356" r:id="rId355"/>
    <hyperlink xmlns:r="http://schemas.openxmlformats.org/officeDocument/2006/relationships" ref="Z357" r:id="rId356"/>
    <hyperlink xmlns:r="http://schemas.openxmlformats.org/officeDocument/2006/relationships" ref="Z358" r:id="rId357"/>
    <hyperlink xmlns:r="http://schemas.openxmlformats.org/officeDocument/2006/relationships" ref="Z359" r:id="rId358"/>
    <hyperlink xmlns:r="http://schemas.openxmlformats.org/officeDocument/2006/relationships" ref="Z360" r:id="rId359"/>
    <hyperlink xmlns:r="http://schemas.openxmlformats.org/officeDocument/2006/relationships" ref="Z361" r:id="rId360"/>
    <hyperlink xmlns:r="http://schemas.openxmlformats.org/officeDocument/2006/relationships" ref="Z362" r:id="rId361"/>
    <hyperlink xmlns:r="http://schemas.openxmlformats.org/officeDocument/2006/relationships" ref="Z363" r:id="rId362"/>
    <hyperlink xmlns:r="http://schemas.openxmlformats.org/officeDocument/2006/relationships" ref="Z364" r:id="rId363"/>
    <hyperlink xmlns:r="http://schemas.openxmlformats.org/officeDocument/2006/relationships" ref="Z365" r:id="rId364"/>
    <hyperlink xmlns:r="http://schemas.openxmlformats.org/officeDocument/2006/relationships" ref="Z366" r:id="rId365"/>
    <hyperlink xmlns:r="http://schemas.openxmlformats.org/officeDocument/2006/relationships" ref="Z367" r:id="rId366"/>
    <hyperlink xmlns:r="http://schemas.openxmlformats.org/officeDocument/2006/relationships" ref="Z368" r:id="rId367"/>
    <hyperlink xmlns:r="http://schemas.openxmlformats.org/officeDocument/2006/relationships" ref="Z369" r:id="rId368"/>
    <hyperlink xmlns:r="http://schemas.openxmlformats.org/officeDocument/2006/relationships" ref="Z370" r:id="rId369"/>
    <hyperlink xmlns:r="http://schemas.openxmlformats.org/officeDocument/2006/relationships" ref="Z371" r:id="rId370"/>
    <hyperlink xmlns:r="http://schemas.openxmlformats.org/officeDocument/2006/relationships" ref="Z372" r:id="rId371"/>
    <hyperlink xmlns:r="http://schemas.openxmlformats.org/officeDocument/2006/relationships" ref="Z373" r:id="rId372"/>
    <hyperlink xmlns:r="http://schemas.openxmlformats.org/officeDocument/2006/relationships" ref="Z374" r:id="rId373"/>
    <hyperlink xmlns:r="http://schemas.openxmlformats.org/officeDocument/2006/relationships" ref="Z375" r:id="rId374"/>
    <hyperlink xmlns:r="http://schemas.openxmlformats.org/officeDocument/2006/relationships" ref="Z376" r:id="rId375"/>
    <hyperlink xmlns:r="http://schemas.openxmlformats.org/officeDocument/2006/relationships" ref="Z377" r:id="rId376"/>
    <hyperlink xmlns:r="http://schemas.openxmlformats.org/officeDocument/2006/relationships" ref="Z378" r:id="rId377"/>
    <hyperlink xmlns:r="http://schemas.openxmlformats.org/officeDocument/2006/relationships" ref="Z379" r:id="rId378"/>
    <hyperlink xmlns:r="http://schemas.openxmlformats.org/officeDocument/2006/relationships" ref="Z380" r:id="rId379"/>
    <hyperlink xmlns:r="http://schemas.openxmlformats.org/officeDocument/2006/relationships" ref="Z381" r:id="rId380"/>
    <hyperlink xmlns:r="http://schemas.openxmlformats.org/officeDocument/2006/relationships" ref="Z382" r:id="rId381"/>
    <hyperlink xmlns:r="http://schemas.openxmlformats.org/officeDocument/2006/relationships" ref="Z383" r:id="rId382"/>
    <hyperlink xmlns:r="http://schemas.openxmlformats.org/officeDocument/2006/relationships" ref="Z384" r:id="rId383"/>
    <hyperlink xmlns:r="http://schemas.openxmlformats.org/officeDocument/2006/relationships" ref="Z385" r:id="rId384"/>
    <hyperlink xmlns:r="http://schemas.openxmlformats.org/officeDocument/2006/relationships" ref="Z386" r:id="rId385"/>
    <hyperlink xmlns:r="http://schemas.openxmlformats.org/officeDocument/2006/relationships" ref="Z387" r:id="rId386"/>
    <hyperlink xmlns:r="http://schemas.openxmlformats.org/officeDocument/2006/relationships" ref="Z388" r:id="rId387"/>
    <hyperlink xmlns:r="http://schemas.openxmlformats.org/officeDocument/2006/relationships" ref="Z389" r:id="rId388"/>
    <hyperlink xmlns:r="http://schemas.openxmlformats.org/officeDocument/2006/relationships" ref="Z390" r:id="rId389"/>
    <hyperlink xmlns:r="http://schemas.openxmlformats.org/officeDocument/2006/relationships" ref="Z391" r:id="rId390"/>
    <hyperlink xmlns:r="http://schemas.openxmlformats.org/officeDocument/2006/relationships" ref="Z392" r:id="rId391"/>
    <hyperlink xmlns:r="http://schemas.openxmlformats.org/officeDocument/2006/relationships" ref="Z393" r:id="rId392"/>
    <hyperlink xmlns:r="http://schemas.openxmlformats.org/officeDocument/2006/relationships" ref="Z394" r:id="rId393"/>
    <hyperlink xmlns:r="http://schemas.openxmlformats.org/officeDocument/2006/relationships" ref="Z395" r:id="rId394"/>
    <hyperlink xmlns:r="http://schemas.openxmlformats.org/officeDocument/2006/relationships" ref="Z396" r:id="rId395"/>
    <hyperlink xmlns:r="http://schemas.openxmlformats.org/officeDocument/2006/relationships" ref="Z397" r:id="rId396"/>
    <hyperlink xmlns:r="http://schemas.openxmlformats.org/officeDocument/2006/relationships" ref="Z398" r:id="rId397"/>
    <hyperlink xmlns:r="http://schemas.openxmlformats.org/officeDocument/2006/relationships" ref="Z399" r:id="rId398"/>
    <hyperlink xmlns:r="http://schemas.openxmlformats.org/officeDocument/2006/relationships" ref="Z400" r:id="rId399"/>
    <hyperlink xmlns:r="http://schemas.openxmlformats.org/officeDocument/2006/relationships" ref="Z401" r:id="rId400"/>
    <hyperlink xmlns:r="http://schemas.openxmlformats.org/officeDocument/2006/relationships" ref="Z402" r:id="rId401"/>
    <hyperlink xmlns:r="http://schemas.openxmlformats.org/officeDocument/2006/relationships" ref="Z403" r:id="rId402"/>
    <hyperlink xmlns:r="http://schemas.openxmlformats.org/officeDocument/2006/relationships" ref="Z404" r:id="rId403"/>
    <hyperlink xmlns:r="http://schemas.openxmlformats.org/officeDocument/2006/relationships" ref="Z405" r:id="rId404"/>
    <hyperlink xmlns:r="http://schemas.openxmlformats.org/officeDocument/2006/relationships" ref="Z406" r:id="rId405"/>
    <hyperlink xmlns:r="http://schemas.openxmlformats.org/officeDocument/2006/relationships" ref="Z407" r:id="rId406"/>
    <hyperlink xmlns:r="http://schemas.openxmlformats.org/officeDocument/2006/relationships" ref="Z408" r:id="rId407"/>
    <hyperlink xmlns:r="http://schemas.openxmlformats.org/officeDocument/2006/relationships" ref="Z409" r:id="rId408"/>
    <hyperlink xmlns:r="http://schemas.openxmlformats.org/officeDocument/2006/relationships" ref="Z410" r:id="rId409"/>
    <hyperlink xmlns:r="http://schemas.openxmlformats.org/officeDocument/2006/relationships" ref="Z411" r:id="rId410"/>
    <hyperlink xmlns:r="http://schemas.openxmlformats.org/officeDocument/2006/relationships" ref="Z412" r:id="rId411"/>
    <hyperlink xmlns:r="http://schemas.openxmlformats.org/officeDocument/2006/relationships" ref="Z413" r:id="rId412"/>
    <hyperlink xmlns:r="http://schemas.openxmlformats.org/officeDocument/2006/relationships" ref="Z414" r:id="rId413"/>
    <hyperlink xmlns:r="http://schemas.openxmlformats.org/officeDocument/2006/relationships" ref="Z415" r:id="rId414"/>
    <hyperlink xmlns:r="http://schemas.openxmlformats.org/officeDocument/2006/relationships" ref="Z416" r:id="rId415"/>
    <hyperlink xmlns:r="http://schemas.openxmlformats.org/officeDocument/2006/relationships" ref="Z417" r:id="rId416"/>
    <hyperlink xmlns:r="http://schemas.openxmlformats.org/officeDocument/2006/relationships" ref="Z418" r:id="rId417"/>
    <hyperlink xmlns:r="http://schemas.openxmlformats.org/officeDocument/2006/relationships" ref="Z419" r:id="rId418"/>
    <hyperlink xmlns:r="http://schemas.openxmlformats.org/officeDocument/2006/relationships" ref="Z420" r:id="rId419"/>
    <hyperlink xmlns:r="http://schemas.openxmlformats.org/officeDocument/2006/relationships" ref="Z421" r:id="rId420"/>
    <hyperlink xmlns:r="http://schemas.openxmlformats.org/officeDocument/2006/relationships" ref="Z422" r:id="rId421"/>
    <hyperlink xmlns:r="http://schemas.openxmlformats.org/officeDocument/2006/relationships" ref="Z423" r:id="rId422"/>
    <hyperlink xmlns:r="http://schemas.openxmlformats.org/officeDocument/2006/relationships" ref="Z424" r:id="rId423"/>
    <hyperlink xmlns:r="http://schemas.openxmlformats.org/officeDocument/2006/relationships" ref="Z425" r:id="rId424"/>
    <hyperlink xmlns:r="http://schemas.openxmlformats.org/officeDocument/2006/relationships" ref="Z426" r:id="rId425"/>
    <hyperlink xmlns:r="http://schemas.openxmlformats.org/officeDocument/2006/relationships" ref="Z427" r:id="rId426"/>
    <hyperlink xmlns:r="http://schemas.openxmlformats.org/officeDocument/2006/relationships" ref="Z428" r:id="rId427"/>
    <hyperlink xmlns:r="http://schemas.openxmlformats.org/officeDocument/2006/relationships" ref="Z429" r:id="rId428"/>
    <hyperlink xmlns:r="http://schemas.openxmlformats.org/officeDocument/2006/relationships" ref="Z430" r:id="rId429"/>
    <hyperlink xmlns:r="http://schemas.openxmlformats.org/officeDocument/2006/relationships" ref="Z431" r:id="rId430"/>
    <hyperlink xmlns:r="http://schemas.openxmlformats.org/officeDocument/2006/relationships" ref="Z432" r:id="rId431"/>
    <hyperlink xmlns:r="http://schemas.openxmlformats.org/officeDocument/2006/relationships" ref="Z433" r:id="rId432"/>
    <hyperlink xmlns:r="http://schemas.openxmlformats.org/officeDocument/2006/relationships" ref="Z434" r:id="rId433"/>
    <hyperlink xmlns:r="http://schemas.openxmlformats.org/officeDocument/2006/relationships" ref="Z435" r:id="rId434"/>
    <hyperlink xmlns:r="http://schemas.openxmlformats.org/officeDocument/2006/relationships" ref="Z436" r:id="rId435"/>
    <hyperlink xmlns:r="http://schemas.openxmlformats.org/officeDocument/2006/relationships" ref="Z437" r:id="rId436"/>
    <hyperlink xmlns:r="http://schemas.openxmlformats.org/officeDocument/2006/relationships" ref="Z438" r:id="rId437"/>
    <hyperlink xmlns:r="http://schemas.openxmlformats.org/officeDocument/2006/relationships" ref="Z439" r:id="rId438"/>
    <hyperlink xmlns:r="http://schemas.openxmlformats.org/officeDocument/2006/relationships" ref="Z440" r:id="rId439"/>
    <hyperlink xmlns:r="http://schemas.openxmlformats.org/officeDocument/2006/relationships" ref="Z441" r:id="rId440"/>
    <hyperlink xmlns:r="http://schemas.openxmlformats.org/officeDocument/2006/relationships" ref="Z442" r:id="rId441"/>
    <hyperlink xmlns:r="http://schemas.openxmlformats.org/officeDocument/2006/relationships" ref="Z443" r:id="rId442"/>
    <hyperlink xmlns:r="http://schemas.openxmlformats.org/officeDocument/2006/relationships" ref="Z444" r:id="rId443"/>
    <hyperlink xmlns:r="http://schemas.openxmlformats.org/officeDocument/2006/relationships" ref="Z445" r:id="rId444"/>
    <hyperlink xmlns:r="http://schemas.openxmlformats.org/officeDocument/2006/relationships" ref="Z446" r:id="rId445"/>
    <hyperlink xmlns:r="http://schemas.openxmlformats.org/officeDocument/2006/relationships" ref="Z447" r:id="rId446"/>
    <hyperlink xmlns:r="http://schemas.openxmlformats.org/officeDocument/2006/relationships" ref="Z448" r:id="rId447"/>
    <hyperlink xmlns:r="http://schemas.openxmlformats.org/officeDocument/2006/relationships" ref="Z449" r:id="rId448"/>
    <hyperlink xmlns:r="http://schemas.openxmlformats.org/officeDocument/2006/relationships" ref="Z450" r:id="rId449"/>
    <hyperlink xmlns:r="http://schemas.openxmlformats.org/officeDocument/2006/relationships" ref="Z451" r:id="rId450"/>
    <hyperlink xmlns:r="http://schemas.openxmlformats.org/officeDocument/2006/relationships" ref="Z452" r:id="rId451"/>
    <hyperlink xmlns:r="http://schemas.openxmlformats.org/officeDocument/2006/relationships" ref="Z453" r:id="rId452"/>
    <hyperlink xmlns:r="http://schemas.openxmlformats.org/officeDocument/2006/relationships" ref="Z454" r:id="rId453"/>
    <hyperlink xmlns:r="http://schemas.openxmlformats.org/officeDocument/2006/relationships" ref="Z455" r:id="rId454"/>
    <hyperlink xmlns:r="http://schemas.openxmlformats.org/officeDocument/2006/relationships" ref="Z456" r:id="rId455"/>
    <hyperlink xmlns:r="http://schemas.openxmlformats.org/officeDocument/2006/relationships" ref="Z457" r:id="rId456"/>
    <hyperlink xmlns:r="http://schemas.openxmlformats.org/officeDocument/2006/relationships" ref="Z458" r:id="rId457"/>
    <hyperlink xmlns:r="http://schemas.openxmlformats.org/officeDocument/2006/relationships" ref="Z459" r:id="rId458"/>
    <hyperlink xmlns:r="http://schemas.openxmlformats.org/officeDocument/2006/relationships" ref="Z460" r:id="rId459"/>
    <hyperlink xmlns:r="http://schemas.openxmlformats.org/officeDocument/2006/relationships" ref="Z461" r:id="rId460"/>
    <hyperlink xmlns:r="http://schemas.openxmlformats.org/officeDocument/2006/relationships" ref="Z462" r:id="rId461"/>
    <hyperlink xmlns:r="http://schemas.openxmlformats.org/officeDocument/2006/relationships" ref="Z463" r:id="rId462"/>
    <hyperlink xmlns:r="http://schemas.openxmlformats.org/officeDocument/2006/relationships" ref="Z464" r:id="rId463"/>
    <hyperlink xmlns:r="http://schemas.openxmlformats.org/officeDocument/2006/relationships" ref="Z465" r:id="rId464"/>
    <hyperlink xmlns:r="http://schemas.openxmlformats.org/officeDocument/2006/relationships" ref="Z466" r:id="rId465"/>
    <hyperlink xmlns:r="http://schemas.openxmlformats.org/officeDocument/2006/relationships" ref="Z467" r:id="rId466"/>
    <hyperlink xmlns:r="http://schemas.openxmlformats.org/officeDocument/2006/relationships" ref="Z468" r:id="rId467"/>
    <hyperlink xmlns:r="http://schemas.openxmlformats.org/officeDocument/2006/relationships" ref="Z469" r:id="rId468"/>
    <hyperlink xmlns:r="http://schemas.openxmlformats.org/officeDocument/2006/relationships" ref="Z470" r:id="rId469"/>
    <hyperlink xmlns:r="http://schemas.openxmlformats.org/officeDocument/2006/relationships" ref="Z471" r:id="rId470"/>
    <hyperlink xmlns:r="http://schemas.openxmlformats.org/officeDocument/2006/relationships" ref="Z472" r:id="rId471"/>
    <hyperlink xmlns:r="http://schemas.openxmlformats.org/officeDocument/2006/relationships" ref="Z473" r:id="rId472"/>
    <hyperlink xmlns:r="http://schemas.openxmlformats.org/officeDocument/2006/relationships" ref="Z474" r:id="rId473"/>
    <hyperlink xmlns:r="http://schemas.openxmlformats.org/officeDocument/2006/relationships" ref="Z475" r:id="rId474"/>
    <hyperlink xmlns:r="http://schemas.openxmlformats.org/officeDocument/2006/relationships" ref="Z476" r:id="rId475"/>
    <hyperlink xmlns:r="http://schemas.openxmlformats.org/officeDocument/2006/relationships" ref="Z477" r:id="rId476"/>
    <hyperlink xmlns:r="http://schemas.openxmlformats.org/officeDocument/2006/relationships" ref="Z478" r:id="rId477"/>
    <hyperlink xmlns:r="http://schemas.openxmlformats.org/officeDocument/2006/relationships" ref="Z479" r:id="rId478"/>
    <hyperlink xmlns:r="http://schemas.openxmlformats.org/officeDocument/2006/relationships" ref="Z480" r:id="rId479"/>
    <hyperlink xmlns:r="http://schemas.openxmlformats.org/officeDocument/2006/relationships" ref="Z481" r:id="rId480"/>
    <hyperlink xmlns:r="http://schemas.openxmlformats.org/officeDocument/2006/relationships" ref="Z482" r:id="rId481"/>
    <hyperlink xmlns:r="http://schemas.openxmlformats.org/officeDocument/2006/relationships" ref="Z483" r:id="rId482"/>
    <hyperlink xmlns:r="http://schemas.openxmlformats.org/officeDocument/2006/relationships" ref="Z484" r:id="rId483"/>
    <hyperlink xmlns:r="http://schemas.openxmlformats.org/officeDocument/2006/relationships" ref="Z485" r:id="rId484"/>
    <hyperlink xmlns:r="http://schemas.openxmlformats.org/officeDocument/2006/relationships" ref="Z486" r:id="rId485"/>
    <hyperlink xmlns:r="http://schemas.openxmlformats.org/officeDocument/2006/relationships" ref="Z487" r:id="rId486"/>
    <hyperlink xmlns:r="http://schemas.openxmlformats.org/officeDocument/2006/relationships" ref="Z488" r:id="rId487"/>
    <hyperlink xmlns:r="http://schemas.openxmlformats.org/officeDocument/2006/relationships" ref="Z489" r:id="rId488"/>
    <hyperlink xmlns:r="http://schemas.openxmlformats.org/officeDocument/2006/relationships" ref="Z490" r:id="rId489"/>
    <hyperlink xmlns:r="http://schemas.openxmlformats.org/officeDocument/2006/relationships" ref="Z491" r:id="rId490"/>
    <hyperlink xmlns:r="http://schemas.openxmlformats.org/officeDocument/2006/relationships" ref="Z492" r:id="rId491"/>
    <hyperlink xmlns:r="http://schemas.openxmlformats.org/officeDocument/2006/relationships" ref="Z493" r:id="rId492"/>
    <hyperlink xmlns:r="http://schemas.openxmlformats.org/officeDocument/2006/relationships" ref="Z494" r:id="rId493"/>
    <hyperlink xmlns:r="http://schemas.openxmlformats.org/officeDocument/2006/relationships" ref="Z495" r:id="rId494"/>
    <hyperlink xmlns:r="http://schemas.openxmlformats.org/officeDocument/2006/relationships" ref="Z496" r:id="rId495"/>
    <hyperlink xmlns:r="http://schemas.openxmlformats.org/officeDocument/2006/relationships" ref="Z497" r:id="rId496"/>
    <hyperlink xmlns:r="http://schemas.openxmlformats.org/officeDocument/2006/relationships" ref="Z498" r:id="rId497"/>
    <hyperlink xmlns:r="http://schemas.openxmlformats.org/officeDocument/2006/relationships" ref="Z499" r:id="rId498"/>
    <hyperlink xmlns:r="http://schemas.openxmlformats.org/officeDocument/2006/relationships" ref="Z500" r:id="rId499"/>
    <hyperlink xmlns:r="http://schemas.openxmlformats.org/officeDocument/2006/relationships" ref="Z501" r:id="rId500"/>
    <hyperlink xmlns:r="http://schemas.openxmlformats.org/officeDocument/2006/relationships" ref="Z502" r:id="rId501"/>
    <hyperlink xmlns:r="http://schemas.openxmlformats.org/officeDocument/2006/relationships" ref="Z503" r:id="rId502"/>
    <hyperlink xmlns:r="http://schemas.openxmlformats.org/officeDocument/2006/relationships" ref="Z504" r:id="rId503"/>
    <hyperlink xmlns:r="http://schemas.openxmlformats.org/officeDocument/2006/relationships" ref="Z505" r:id="rId504"/>
    <hyperlink xmlns:r="http://schemas.openxmlformats.org/officeDocument/2006/relationships" ref="Z506" r:id="rId50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6" t="inlineStr">
        <is>
          <t>Trent &amp; Steve Bet Tracker — Summary (all formulas reference the Bets tab)</t>
        </is>
      </c>
    </row>
    <row r="2">
      <c r="A2" t="inlineStr">
        <is>
          <t>CFB season start (Week 0):</t>
        </is>
      </c>
      <c r="C2" s="3" t="n">
        <v>46261</v>
      </c>
      <c r="D2" t="inlineStr">
        <is>
          <t>Thu Aug 27, 2026 (first FBS game Sat Aug 29, UNC vs TCU in Dublin)</t>
        </is>
      </c>
    </row>
    <row r="3">
      <c r="A3" t="inlineStr">
        <is>
          <t>NFL season start (Week 1):</t>
        </is>
      </c>
      <c r="C3" s="3" t="n">
        <v>46274</v>
      </c>
      <c r="D3" t="inlineStr">
        <is>
          <t>Wed Sep 9, 2026 (Patriots at Seahawks)</t>
        </is>
      </c>
    </row>
    <row r="5">
      <c r="A5" s="7" t="inlineStr">
        <is>
          <t>All bets (Aug 1, 2026 – present)</t>
        </is>
      </c>
    </row>
    <row r="6">
      <c r="A6" s="8" t="inlineStr">
        <is>
          <t>Bettor</t>
        </is>
      </c>
      <c r="B6" s="8" t="inlineStr">
        <is>
          <t>Bets</t>
        </is>
      </c>
      <c r="C6" s="8" t="inlineStr">
        <is>
          <t>W</t>
        </is>
      </c>
      <c r="D6" s="8" t="inlineStr">
        <is>
          <t>L</t>
        </is>
      </c>
      <c r="E6" s="8" t="inlineStr">
        <is>
          <t>Push</t>
        </is>
      </c>
      <c r="F6" s="8" t="inlineStr">
        <is>
          <t>Pending</t>
        </is>
      </c>
      <c r="G6" s="8" t="inlineStr">
        <is>
          <t>Unknown</t>
        </is>
      </c>
      <c r="H6" s="8" t="inlineStr">
        <is>
          <t>Win % (W/(W+L))</t>
        </is>
      </c>
      <c r="I6" s="8" t="inlineStr">
        <is>
          <t>Total staked $ (all $ bets)</t>
        </is>
      </c>
      <c r="J6" s="8" t="inlineStr">
        <is>
          <t>Settled staked $</t>
        </is>
      </c>
      <c r="K6" s="8" t="inlineStr">
        <is>
          <t>Net P/L $</t>
        </is>
      </c>
      <c r="L6" s="8" t="inlineStr">
        <is>
          <t>ROI (net / settled $)</t>
        </is>
      </c>
      <c r="M6" s="8" t="inlineStr">
        <is>
          <t>Units staked (settled)</t>
        </is>
      </c>
      <c r="N6" s="8" t="inlineStr">
        <is>
          <t>Net units</t>
        </is>
      </c>
      <c r="O6" s="8" t="inlineStr">
        <is>
          <t>ROI (units)</t>
        </is>
      </c>
    </row>
    <row r="7">
      <c r="A7" t="inlineStr">
        <is>
          <t>Trent (@BookitWithTrent)</t>
        </is>
      </c>
      <c r="B7">
        <f>COUNTIFS(Bets!$A$2:$A$506,"&lt;&gt;",Bets!$B$2:$B$506,"Trent")</f>
        <v/>
      </c>
      <c r="C7">
        <f>COUNTIFS(Bets!$A$2:$A$506,"&lt;&gt;",Bets!$B$2:$B$506,"Trent",Bets!$U$2:$U$506,"W")</f>
        <v/>
      </c>
      <c r="D7">
        <f>COUNTIFS(Bets!$A$2:$A$506,"&lt;&gt;",Bets!$B$2:$B$506,"Trent",Bets!$U$2:$U$506,"L")</f>
        <v/>
      </c>
      <c r="E7">
        <f>COUNTIFS(Bets!$A$2:$A$506,"&lt;&gt;",Bets!$B$2:$B$506,"Trent",Bets!$U$2:$U$506,"Push")</f>
        <v/>
      </c>
      <c r="F7">
        <f>COUNTIFS(Bets!$A$2:$A$506,"&lt;&gt;",Bets!$B$2:$B$506,"Trent",Bets!$U$2:$U$506,"Pending")</f>
        <v/>
      </c>
      <c r="G7">
        <f>COUNTIFS(Bets!$A$2:$A$506,"&lt;&gt;",Bets!$B$2:$B$506,"Trent",Bets!$U$2:$U$506,"Unknown")</f>
        <v/>
      </c>
      <c r="H7" s="9">
        <f>IF(C7+D7=0,"",C7/(C7+D7))</f>
        <v/>
      </c>
      <c r="I7" s="10">
        <f>SUMIFS(Bets!$Q$2:$Q$506,Bets!$A$2:$A$506,"&lt;&gt;",Bets!$B$2:$B$506,"Trent")</f>
        <v/>
      </c>
      <c r="J7" s="10">
        <f>SUMIFS(Bets!$AC$2:$AC$506,Bets!$A$2:$A$506,"&lt;&gt;",Bets!$B$2:$B$506,"Trent")</f>
        <v/>
      </c>
      <c r="K7" s="11">
        <f>SUMIFS(Bets!$V$2:$V$506,Bets!$A$2:$A$506,"&lt;&gt;",Bets!$B$2:$B$506,"Trent")</f>
        <v/>
      </c>
      <c r="L7" s="12">
        <f>IF(J7=0,"",K7/J7)</f>
        <v/>
      </c>
      <c r="M7" s="13">
        <f>SUMIFS(Bets!$AD$2:$AD$506,Bets!$A$2:$A$506,"&lt;&gt;",Bets!$B$2:$B$506,"Trent")</f>
        <v/>
      </c>
      <c r="N7" s="14">
        <f>SUMIFS(Bets!$W$2:$W$506,Bets!$A$2:$A$506,"&lt;&gt;",Bets!$B$2:$B$506,"Trent")</f>
        <v/>
      </c>
      <c r="O7" s="12">
        <f>IF(M7=0,"",N7/M7)</f>
        <v/>
      </c>
    </row>
    <row r="8">
      <c r="A8" t="inlineStr">
        <is>
          <t>Steve (@stevewilldoit)</t>
        </is>
      </c>
      <c r="B8">
        <f>COUNTIFS(Bets!$A$2:$A$506,"&lt;&gt;",Bets!$B$2:$B$506,"Steve")</f>
        <v/>
      </c>
      <c r="C8">
        <f>COUNTIFS(Bets!$A$2:$A$506,"&lt;&gt;",Bets!$B$2:$B$506,"Steve",Bets!$U$2:$U$506,"W")</f>
        <v/>
      </c>
      <c r="D8">
        <f>COUNTIFS(Bets!$A$2:$A$506,"&lt;&gt;",Bets!$B$2:$B$506,"Steve",Bets!$U$2:$U$506,"L")</f>
        <v/>
      </c>
      <c r="E8">
        <f>COUNTIFS(Bets!$A$2:$A$506,"&lt;&gt;",Bets!$B$2:$B$506,"Steve",Bets!$U$2:$U$506,"Push")</f>
        <v/>
      </c>
      <c r="F8">
        <f>COUNTIFS(Bets!$A$2:$A$506,"&lt;&gt;",Bets!$B$2:$B$506,"Steve",Bets!$U$2:$U$506,"Pending")</f>
        <v/>
      </c>
      <c r="G8">
        <f>COUNTIFS(Bets!$A$2:$A$506,"&lt;&gt;",Bets!$B$2:$B$506,"Steve",Bets!$U$2:$U$506,"Unknown")</f>
        <v/>
      </c>
      <c r="H8" s="9">
        <f>IF(C8+D8=0,"",C8/(C8+D8))</f>
        <v/>
      </c>
      <c r="I8" s="10">
        <f>SUMIFS(Bets!$Q$2:$Q$506,Bets!$A$2:$A$506,"&lt;&gt;",Bets!$B$2:$B$506,"Steve")</f>
        <v/>
      </c>
      <c r="J8" s="10">
        <f>SUMIFS(Bets!$AC$2:$AC$506,Bets!$A$2:$A$506,"&lt;&gt;",Bets!$B$2:$B$506,"Steve")</f>
        <v/>
      </c>
      <c r="K8" s="11">
        <f>SUMIFS(Bets!$V$2:$V$506,Bets!$A$2:$A$506,"&lt;&gt;",Bets!$B$2:$B$506,"Steve")</f>
        <v/>
      </c>
      <c r="L8" s="12">
        <f>IF(J8=0,"",K8/J8)</f>
        <v/>
      </c>
      <c r="M8" s="13">
        <f>SUMIFS(Bets!$AD$2:$AD$506,Bets!$A$2:$A$506,"&lt;&gt;",Bets!$B$2:$B$506,"Steve")</f>
        <v/>
      </c>
      <c r="N8" s="14">
        <f>SUMIFS(Bets!$W$2:$W$506,Bets!$A$2:$A$506,"&lt;&gt;",Bets!$B$2:$B$506,"Steve")</f>
        <v/>
      </c>
      <c r="O8" s="12">
        <f>IF(M8=0,"",N8/M8)</f>
        <v/>
      </c>
    </row>
    <row r="9">
      <c r="A9" t="inlineStr">
        <is>
          <t>Combined</t>
        </is>
      </c>
      <c r="B9">
        <f>COUNTIFS(Bets!$A$2:$A$506,"&lt;&gt;",Bets!$B$2:$B$506,"*")</f>
        <v/>
      </c>
      <c r="C9">
        <f>COUNTIFS(Bets!$A$2:$A$506,"&lt;&gt;",Bets!$B$2:$B$506,"*",Bets!$U$2:$U$506,"W")</f>
        <v/>
      </c>
      <c r="D9">
        <f>COUNTIFS(Bets!$A$2:$A$506,"&lt;&gt;",Bets!$B$2:$B$506,"*",Bets!$U$2:$U$506,"L")</f>
        <v/>
      </c>
      <c r="E9">
        <f>COUNTIFS(Bets!$A$2:$A$506,"&lt;&gt;",Bets!$B$2:$B$506,"*",Bets!$U$2:$U$506,"Push")</f>
        <v/>
      </c>
      <c r="F9">
        <f>COUNTIFS(Bets!$A$2:$A$506,"&lt;&gt;",Bets!$B$2:$B$506,"*",Bets!$U$2:$U$506,"Pending")</f>
        <v/>
      </c>
      <c r="G9">
        <f>COUNTIFS(Bets!$A$2:$A$506,"&lt;&gt;",Bets!$B$2:$B$506,"*",Bets!$U$2:$U$506,"Unknown")</f>
        <v/>
      </c>
      <c r="H9" s="9">
        <f>IF(C9+D9=0,"",C9/(C9+D9))</f>
        <v/>
      </c>
      <c r="I9" s="10">
        <f>SUMIFS(Bets!$Q$2:$Q$506,Bets!$A$2:$A$506,"&lt;&gt;",Bets!$B$2:$B$506,"*")</f>
        <v/>
      </c>
      <c r="J9" s="10">
        <f>SUMIFS(Bets!$AC$2:$AC$506,Bets!$A$2:$A$506,"&lt;&gt;",Bets!$B$2:$B$506,"*")</f>
        <v/>
      </c>
      <c r="K9" s="11">
        <f>SUMIFS(Bets!$V$2:$V$506,Bets!$A$2:$A$506,"&lt;&gt;",Bets!$B$2:$B$506,"*")</f>
        <v/>
      </c>
      <c r="L9" s="12">
        <f>IF(J9=0,"",K9/J9)</f>
        <v/>
      </c>
      <c r="M9" s="13">
        <f>SUMIFS(Bets!$AD$2:$AD$506,Bets!$A$2:$A$506,"&lt;&gt;",Bets!$B$2:$B$506,"*")</f>
        <v/>
      </c>
      <c r="N9" s="14">
        <f>SUMIFS(Bets!$W$2:$W$506,Bets!$A$2:$A$506,"&lt;&gt;",Bets!$B$2:$B$506,"*")</f>
        <v/>
      </c>
      <c r="O9" s="12">
        <f>IF(M9=0,"",N9/M9)</f>
        <v/>
      </c>
    </row>
    <row r="11">
      <c r="A11" s="7" t="inlineStr">
        <is>
          <t>Since CFB start (game date ≥ C2)</t>
        </is>
      </c>
    </row>
    <row r="12">
      <c r="A12" s="8" t="inlineStr">
        <is>
          <t>Bettor</t>
        </is>
      </c>
      <c r="B12" s="8" t="inlineStr">
        <is>
          <t>Bets</t>
        </is>
      </c>
      <c r="C12" s="8" t="inlineStr">
        <is>
          <t>W</t>
        </is>
      </c>
      <c r="D12" s="8" t="inlineStr">
        <is>
          <t>L</t>
        </is>
      </c>
      <c r="E12" s="8" t="inlineStr">
        <is>
          <t>Push</t>
        </is>
      </c>
      <c r="F12" s="8" t="inlineStr">
        <is>
          <t>Pending</t>
        </is>
      </c>
      <c r="G12" s="8" t="inlineStr">
        <is>
          <t>Unknown</t>
        </is>
      </c>
      <c r="H12" s="8" t="inlineStr">
        <is>
          <t>Win % (W/(W+L))</t>
        </is>
      </c>
      <c r="I12" s="8" t="inlineStr">
        <is>
          <t>Total staked $ (all $ bets)</t>
        </is>
      </c>
      <c r="J12" s="8" t="inlineStr">
        <is>
          <t>Settled staked $</t>
        </is>
      </c>
      <c r="K12" s="8" t="inlineStr">
        <is>
          <t>Net P/L $</t>
        </is>
      </c>
      <c r="L12" s="8" t="inlineStr">
        <is>
          <t>ROI (net / settled $)</t>
        </is>
      </c>
      <c r="M12" s="8" t="inlineStr">
        <is>
          <t>Units staked (settled)</t>
        </is>
      </c>
      <c r="N12" s="8" t="inlineStr">
        <is>
          <t>Net units</t>
        </is>
      </c>
      <c r="O12" s="8" t="inlineStr">
        <is>
          <t>ROI (units)</t>
        </is>
      </c>
    </row>
    <row r="13">
      <c r="A13" t="inlineStr">
        <is>
          <t>Trent (@BookitWithTrent)</t>
        </is>
      </c>
      <c r="B13">
        <f>COUNTIFS(Bets!$A$2:$A$506,"&lt;&gt;",Bets!$B$2:$B$506,"Trent",Bets!$E$2:$E$506,"&gt;="&amp;$C$2)</f>
        <v/>
      </c>
      <c r="C13">
        <f>COUNTIFS(Bets!$A$2:$A$506,"&lt;&gt;",Bets!$B$2:$B$506,"Trent",Bets!$E$2:$E$506,"&gt;="&amp;$C$2,Bets!$U$2:$U$506,"W")</f>
        <v/>
      </c>
      <c r="D13">
        <f>COUNTIFS(Bets!$A$2:$A$506,"&lt;&gt;",Bets!$B$2:$B$506,"Trent",Bets!$E$2:$E$506,"&gt;="&amp;$C$2,Bets!$U$2:$U$506,"L")</f>
        <v/>
      </c>
      <c r="E13">
        <f>COUNTIFS(Bets!$A$2:$A$506,"&lt;&gt;",Bets!$B$2:$B$506,"Trent",Bets!$E$2:$E$506,"&gt;="&amp;$C$2,Bets!$U$2:$U$506,"Push")</f>
        <v/>
      </c>
      <c r="F13">
        <f>COUNTIFS(Bets!$A$2:$A$506,"&lt;&gt;",Bets!$B$2:$B$506,"Trent",Bets!$E$2:$E$506,"&gt;="&amp;$C$2,Bets!$U$2:$U$506,"Pending")</f>
        <v/>
      </c>
      <c r="G13">
        <f>COUNTIFS(Bets!$A$2:$A$506,"&lt;&gt;",Bets!$B$2:$B$506,"Trent",Bets!$E$2:$E$506,"&gt;="&amp;$C$2,Bets!$U$2:$U$506,"Unknown")</f>
        <v/>
      </c>
      <c r="H13" s="9">
        <f>IF(C13+D13=0,"",C13/(C13+D13))</f>
        <v/>
      </c>
      <c r="I13" s="10">
        <f>SUMIFS(Bets!$Q$2:$Q$506,Bets!$A$2:$A$506,"&lt;&gt;",Bets!$B$2:$B$506,"Trent",Bets!$E$2:$E$506,"&gt;="&amp;$C$2)</f>
        <v/>
      </c>
      <c r="J13" s="10">
        <f>SUMIFS(Bets!$AC$2:$AC$506,Bets!$A$2:$A$506,"&lt;&gt;",Bets!$B$2:$B$506,"Trent",Bets!$E$2:$E$506,"&gt;="&amp;$C$2)</f>
        <v/>
      </c>
      <c r="K13" s="11">
        <f>SUMIFS(Bets!$V$2:$V$506,Bets!$A$2:$A$506,"&lt;&gt;",Bets!$B$2:$B$506,"Trent",Bets!$E$2:$E$506,"&gt;="&amp;$C$2)</f>
        <v/>
      </c>
      <c r="L13" s="12">
        <f>IF(J13=0,"",K13/J13)</f>
        <v/>
      </c>
      <c r="M13" s="13">
        <f>SUMIFS(Bets!$AD$2:$AD$506,Bets!$A$2:$A$506,"&lt;&gt;",Bets!$B$2:$B$506,"Trent",Bets!$E$2:$E$506,"&gt;="&amp;$C$2)</f>
        <v/>
      </c>
      <c r="N13" s="14">
        <f>SUMIFS(Bets!$W$2:$W$506,Bets!$A$2:$A$506,"&lt;&gt;",Bets!$B$2:$B$506,"Trent",Bets!$E$2:$E$506,"&gt;="&amp;$C$2)</f>
        <v/>
      </c>
      <c r="O13" s="12">
        <f>IF(M13=0,"",N13/M13)</f>
        <v/>
      </c>
    </row>
    <row r="14">
      <c r="A14" t="inlineStr">
        <is>
          <t>Steve (@stevewilldoit)</t>
        </is>
      </c>
      <c r="B14">
        <f>COUNTIFS(Bets!$A$2:$A$506,"&lt;&gt;",Bets!$B$2:$B$506,"Steve",Bets!$E$2:$E$506,"&gt;="&amp;$C$2)</f>
        <v/>
      </c>
      <c r="C14">
        <f>COUNTIFS(Bets!$A$2:$A$506,"&lt;&gt;",Bets!$B$2:$B$506,"Steve",Bets!$E$2:$E$506,"&gt;="&amp;$C$2,Bets!$U$2:$U$506,"W")</f>
        <v/>
      </c>
      <c r="D14">
        <f>COUNTIFS(Bets!$A$2:$A$506,"&lt;&gt;",Bets!$B$2:$B$506,"Steve",Bets!$E$2:$E$506,"&gt;="&amp;$C$2,Bets!$U$2:$U$506,"L")</f>
        <v/>
      </c>
      <c r="E14">
        <f>COUNTIFS(Bets!$A$2:$A$506,"&lt;&gt;",Bets!$B$2:$B$506,"Steve",Bets!$E$2:$E$506,"&gt;="&amp;$C$2,Bets!$U$2:$U$506,"Push")</f>
        <v/>
      </c>
      <c r="F14">
        <f>COUNTIFS(Bets!$A$2:$A$506,"&lt;&gt;",Bets!$B$2:$B$506,"Steve",Bets!$E$2:$E$506,"&gt;="&amp;$C$2,Bets!$U$2:$U$506,"Pending")</f>
        <v/>
      </c>
      <c r="G14">
        <f>COUNTIFS(Bets!$A$2:$A$506,"&lt;&gt;",Bets!$B$2:$B$506,"Steve",Bets!$E$2:$E$506,"&gt;="&amp;$C$2,Bets!$U$2:$U$506,"Unknown")</f>
        <v/>
      </c>
      <c r="H14" s="9">
        <f>IF(C14+D14=0,"",C14/(C14+D14))</f>
        <v/>
      </c>
      <c r="I14" s="10">
        <f>SUMIFS(Bets!$Q$2:$Q$506,Bets!$A$2:$A$506,"&lt;&gt;",Bets!$B$2:$B$506,"Steve",Bets!$E$2:$E$506,"&gt;="&amp;$C$2)</f>
        <v/>
      </c>
      <c r="J14" s="10">
        <f>SUMIFS(Bets!$AC$2:$AC$506,Bets!$A$2:$A$506,"&lt;&gt;",Bets!$B$2:$B$506,"Steve",Bets!$E$2:$E$506,"&gt;="&amp;$C$2)</f>
        <v/>
      </c>
      <c r="K14" s="11">
        <f>SUMIFS(Bets!$V$2:$V$506,Bets!$A$2:$A$506,"&lt;&gt;",Bets!$B$2:$B$506,"Steve",Bets!$E$2:$E$506,"&gt;="&amp;$C$2)</f>
        <v/>
      </c>
      <c r="L14" s="12">
        <f>IF(J14=0,"",K14/J14)</f>
        <v/>
      </c>
      <c r="M14" s="13">
        <f>SUMIFS(Bets!$AD$2:$AD$506,Bets!$A$2:$A$506,"&lt;&gt;",Bets!$B$2:$B$506,"Steve",Bets!$E$2:$E$506,"&gt;="&amp;$C$2)</f>
        <v/>
      </c>
      <c r="N14" s="14">
        <f>SUMIFS(Bets!$W$2:$W$506,Bets!$A$2:$A$506,"&lt;&gt;",Bets!$B$2:$B$506,"Steve",Bets!$E$2:$E$506,"&gt;="&amp;$C$2)</f>
        <v/>
      </c>
      <c r="O14" s="12">
        <f>IF(M14=0,"",N14/M14)</f>
        <v/>
      </c>
    </row>
    <row r="15">
      <c r="A15" t="inlineStr">
        <is>
          <t>Combined</t>
        </is>
      </c>
      <c r="B15">
        <f>COUNTIFS(Bets!$A$2:$A$506,"&lt;&gt;",Bets!$B$2:$B$506,"*",Bets!$E$2:$E$506,"&gt;="&amp;$C$2)</f>
        <v/>
      </c>
      <c r="C15">
        <f>COUNTIFS(Bets!$A$2:$A$506,"&lt;&gt;",Bets!$B$2:$B$506,"*",Bets!$E$2:$E$506,"&gt;="&amp;$C$2,Bets!$U$2:$U$506,"W")</f>
        <v/>
      </c>
      <c r="D15">
        <f>COUNTIFS(Bets!$A$2:$A$506,"&lt;&gt;",Bets!$B$2:$B$506,"*",Bets!$E$2:$E$506,"&gt;="&amp;$C$2,Bets!$U$2:$U$506,"L")</f>
        <v/>
      </c>
      <c r="E15">
        <f>COUNTIFS(Bets!$A$2:$A$506,"&lt;&gt;",Bets!$B$2:$B$506,"*",Bets!$E$2:$E$506,"&gt;="&amp;$C$2,Bets!$U$2:$U$506,"Push")</f>
        <v/>
      </c>
      <c r="F15">
        <f>COUNTIFS(Bets!$A$2:$A$506,"&lt;&gt;",Bets!$B$2:$B$506,"*",Bets!$E$2:$E$506,"&gt;="&amp;$C$2,Bets!$U$2:$U$506,"Pending")</f>
        <v/>
      </c>
      <c r="G15">
        <f>COUNTIFS(Bets!$A$2:$A$506,"&lt;&gt;",Bets!$B$2:$B$506,"*",Bets!$E$2:$E$506,"&gt;="&amp;$C$2,Bets!$U$2:$U$506,"Unknown")</f>
        <v/>
      </c>
      <c r="H15" s="9">
        <f>IF(C15+D15=0,"",C15/(C15+D15))</f>
        <v/>
      </c>
      <c r="I15" s="10">
        <f>SUMIFS(Bets!$Q$2:$Q$506,Bets!$A$2:$A$506,"&lt;&gt;",Bets!$B$2:$B$506,"*",Bets!$E$2:$E$506,"&gt;="&amp;$C$2)</f>
        <v/>
      </c>
      <c r="J15" s="10">
        <f>SUMIFS(Bets!$AC$2:$AC$506,Bets!$A$2:$A$506,"&lt;&gt;",Bets!$B$2:$B$506,"*",Bets!$E$2:$E$506,"&gt;="&amp;$C$2)</f>
        <v/>
      </c>
      <c r="K15" s="11">
        <f>SUMIFS(Bets!$V$2:$V$506,Bets!$A$2:$A$506,"&lt;&gt;",Bets!$B$2:$B$506,"*",Bets!$E$2:$E$506,"&gt;="&amp;$C$2)</f>
        <v/>
      </c>
      <c r="L15" s="12">
        <f>IF(J15=0,"",K15/J15)</f>
        <v/>
      </c>
      <c r="M15" s="13">
        <f>SUMIFS(Bets!$AD$2:$AD$506,Bets!$A$2:$A$506,"&lt;&gt;",Bets!$B$2:$B$506,"*",Bets!$E$2:$E$506,"&gt;="&amp;$C$2)</f>
        <v/>
      </c>
      <c r="N15" s="14">
        <f>SUMIFS(Bets!$W$2:$W$506,Bets!$A$2:$A$506,"&lt;&gt;",Bets!$B$2:$B$506,"*",Bets!$E$2:$E$506,"&gt;="&amp;$C$2)</f>
        <v/>
      </c>
      <c r="O15" s="12">
        <f>IF(M15=0,"",N15/M15)</f>
        <v/>
      </c>
    </row>
    <row r="17">
      <c r="A17" s="7" t="inlineStr">
        <is>
          <t>Since NFL start (game date ≥ C3)</t>
        </is>
      </c>
    </row>
    <row r="18">
      <c r="A18" s="8" t="inlineStr">
        <is>
          <t>Bettor</t>
        </is>
      </c>
      <c r="B18" s="8" t="inlineStr">
        <is>
          <t>Bets</t>
        </is>
      </c>
      <c r="C18" s="8" t="inlineStr">
        <is>
          <t>W</t>
        </is>
      </c>
      <c r="D18" s="8" t="inlineStr">
        <is>
          <t>L</t>
        </is>
      </c>
      <c r="E18" s="8" t="inlineStr">
        <is>
          <t>Push</t>
        </is>
      </c>
      <c r="F18" s="8" t="inlineStr">
        <is>
          <t>Pending</t>
        </is>
      </c>
      <c r="G18" s="8" t="inlineStr">
        <is>
          <t>Unknown</t>
        </is>
      </c>
      <c r="H18" s="8" t="inlineStr">
        <is>
          <t>Win % (W/(W+L))</t>
        </is>
      </c>
      <c r="I18" s="8" t="inlineStr">
        <is>
          <t>Total staked $ (all $ bets)</t>
        </is>
      </c>
      <c r="J18" s="8" t="inlineStr">
        <is>
          <t>Settled staked $</t>
        </is>
      </c>
      <c r="K18" s="8" t="inlineStr">
        <is>
          <t>Net P/L $</t>
        </is>
      </c>
      <c r="L18" s="8" t="inlineStr">
        <is>
          <t>ROI (net / settled $)</t>
        </is>
      </c>
      <c r="M18" s="8" t="inlineStr">
        <is>
          <t>Units staked (settled)</t>
        </is>
      </c>
      <c r="N18" s="8" t="inlineStr">
        <is>
          <t>Net units</t>
        </is>
      </c>
      <c r="O18" s="8" t="inlineStr">
        <is>
          <t>ROI (units)</t>
        </is>
      </c>
    </row>
    <row r="19">
      <c r="A19" t="inlineStr">
        <is>
          <t>Trent (@BookitWithTrent)</t>
        </is>
      </c>
      <c r="B19">
        <f>COUNTIFS(Bets!$A$2:$A$506,"&lt;&gt;",Bets!$B$2:$B$506,"Trent",Bets!$E$2:$E$506,"&gt;="&amp;$C$3)</f>
        <v/>
      </c>
      <c r="C19">
        <f>COUNTIFS(Bets!$A$2:$A$506,"&lt;&gt;",Bets!$B$2:$B$506,"Trent",Bets!$E$2:$E$506,"&gt;="&amp;$C$3,Bets!$U$2:$U$506,"W")</f>
        <v/>
      </c>
      <c r="D19">
        <f>COUNTIFS(Bets!$A$2:$A$506,"&lt;&gt;",Bets!$B$2:$B$506,"Trent",Bets!$E$2:$E$506,"&gt;="&amp;$C$3,Bets!$U$2:$U$506,"L")</f>
        <v/>
      </c>
      <c r="E19">
        <f>COUNTIFS(Bets!$A$2:$A$506,"&lt;&gt;",Bets!$B$2:$B$506,"Trent",Bets!$E$2:$E$506,"&gt;="&amp;$C$3,Bets!$U$2:$U$506,"Push")</f>
        <v/>
      </c>
      <c r="F19">
        <f>COUNTIFS(Bets!$A$2:$A$506,"&lt;&gt;",Bets!$B$2:$B$506,"Trent",Bets!$E$2:$E$506,"&gt;="&amp;$C$3,Bets!$U$2:$U$506,"Pending")</f>
        <v/>
      </c>
      <c r="G19">
        <f>COUNTIFS(Bets!$A$2:$A$506,"&lt;&gt;",Bets!$B$2:$B$506,"Trent",Bets!$E$2:$E$506,"&gt;="&amp;$C$3,Bets!$U$2:$U$506,"Unknown")</f>
        <v/>
      </c>
      <c r="H19" s="9">
        <f>IF(C19+D19=0,"",C19/(C19+D19))</f>
        <v/>
      </c>
      <c r="I19" s="10">
        <f>SUMIFS(Bets!$Q$2:$Q$506,Bets!$A$2:$A$506,"&lt;&gt;",Bets!$B$2:$B$506,"Trent",Bets!$E$2:$E$506,"&gt;="&amp;$C$3)</f>
        <v/>
      </c>
      <c r="J19" s="10">
        <f>SUMIFS(Bets!$AC$2:$AC$506,Bets!$A$2:$A$506,"&lt;&gt;",Bets!$B$2:$B$506,"Trent",Bets!$E$2:$E$506,"&gt;="&amp;$C$3)</f>
        <v/>
      </c>
      <c r="K19" s="11">
        <f>SUMIFS(Bets!$V$2:$V$506,Bets!$A$2:$A$506,"&lt;&gt;",Bets!$B$2:$B$506,"Trent",Bets!$E$2:$E$506,"&gt;="&amp;$C$3)</f>
        <v/>
      </c>
      <c r="L19" s="12">
        <f>IF(J19=0,"",K19/J19)</f>
        <v/>
      </c>
      <c r="M19" s="13">
        <f>SUMIFS(Bets!$AD$2:$AD$506,Bets!$A$2:$A$506,"&lt;&gt;",Bets!$B$2:$B$506,"Trent",Bets!$E$2:$E$506,"&gt;="&amp;$C$3)</f>
        <v/>
      </c>
      <c r="N19" s="14">
        <f>SUMIFS(Bets!$W$2:$W$506,Bets!$A$2:$A$506,"&lt;&gt;",Bets!$B$2:$B$506,"Trent",Bets!$E$2:$E$506,"&gt;="&amp;$C$3)</f>
        <v/>
      </c>
      <c r="O19" s="12">
        <f>IF(M19=0,"",N19/M19)</f>
        <v/>
      </c>
    </row>
    <row r="20">
      <c r="A20" t="inlineStr">
        <is>
          <t>Steve (@stevewilldoit)</t>
        </is>
      </c>
      <c r="B20">
        <f>COUNTIFS(Bets!$A$2:$A$506,"&lt;&gt;",Bets!$B$2:$B$506,"Steve",Bets!$E$2:$E$506,"&gt;="&amp;$C$3)</f>
        <v/>
      </c>
      <c r="C20">
        <f>COUNTIFS(Bets!$A$2:$A$506,"&lt;&gt;",Bets!$B$2:$B$506,"Steve",Bets!$E$2:$E$506,"&gt;="&amp;$C$3,Bets!$U$2:$U$506,"W")</f>
        <v/>
      </c>
      <c r="D20">
        <f>COUNTIFS(Bets!$A$2:$A$506,"&lt;&gt;",Bets!$B$2:$B$506,"Steve",Bets!$E$2:$E$506,"&gt;="&amp;$C$3,Bets!$U$2:$U$506,"L")</f>
        <v/>
      </c>
      <c r="E20">
        <f>COUNTIFS(Bets!$A$2:$A$506,"&lt;&gt;",Bets!$B$2:$B$506,"Steve",Bets!$E$2:$E$506,"&gt;="&amp;$C$3,Bets!$U$2:$U$506,"Push")</f>
        <v/>
      </c>
      <c r="F20">
        <f>COUNTIFS(Bets!$A$2:$A$506,"&lt;&gt;",Bets!$B$2:$B$506,"Steve",Bets!$E$2:$E$506,"&gt;="&amp;$C$3,Bets!$U$2:$U$506,"Pending")</f>
        <v/>
      </c>
      <c r="G20">
        <f>COUNTIFS(Bets!$A$2:$A$506,"&lt;&gt;",Bets!$B$2:$B$506,"Steve",Bets!$E$2:$E$506,"&gt;="&amp;$C$3,Bets!$U$2:$U$506,"Unknown")</f>
        <v/>
      </c>
      <c r="H20" s="9">
        <f>IF(C20+D20=0,"",C20/(C20+D20))</f>
        <v/>
      </c>
      <c r="I20" s="10">
        <f>SUMIFS(Bets!$Q$2:$Q$506,Bets!$A$2:$A$506,"&lt;&gt;",Bets!$B$2:$B$506,"Steve",Bets!$E$2:$E$506,"&gt;="&amp;$C$3)</f>
        <v/>
      </c>
      <c r="J20" s="10">
        <f>SUMIFS(Bets!$AC$2:$AC$506,Bets!$A$2:$A$506,"&lt;&gt;",Bets!$B$2:$B$506,"Steve",Bets!$E$2:$E$506,"&gt;="&amp;$C$3)</f>
        <v/>
      </c>
      <c r="K20" s="11">
        <f>SUMIFS(Bets!$V$2:$V$506,Bets!$A$2:$A$506,"&lt;&gt;",Bets!$B$2:$B$506,"Steve",Bets!$E$2:$E$506,"&gt;="&amp;$C$3)</f>
        <v/>
      </c>
      <c r="L20" s="12">
        <f>IF(J20=0,"",K20/J20)</f>
        <v/>
      </c>
      <c r="M20" s="13">
        <f>SUMIFS(Bets!$AD$2:$AD$506,Bets!$A$2:$A$506,"&lt;&gt;",Bets!$B$2:$B$506,"Steve",Bets!$E$2:$E$506,"&gt;="&amp;$C$3)</f>
        <v/>
      </c>
      <c r="N20" s="14">
        <f>SUMIFS(Bets!$W$2:$W$506,Bets!$A$2:$A$506,"&lt;&gt;",Bets!$B$2:$B$506,"Steve",Bets!$E$2:$E$506,"&gt;="&amp;$C$3)</f>
        <v/>
      </c>
      <c r="O20" s="12">
        <f>IF(M20=0,"",N20/M20)</f>
        <v/>
      </c>
    </row>
    <row r="21">
      <c r="A21" t="inlineStr">
        <is>
          <t>Combined</t>
        </is>
      </c>
      <c r="B21">
        <f>COUNTIFS(Bets!$A$2:$A$506,"&lt;&gt;",Bets!$B$2:$B$506,"*",Bets!$E$2:$E$506,"&gt;="&amp;$C$3)</f>
        <v/>
      </c>
      <c r="C21">
        <f>COUNTIFS(Bets!$A$2:$A$506,"&lt;&gt;",Bets!$B$2:$B$506,"*",Bets!$E$2:$E$506,"&gt;="&amp;$C$3,Bets!$U$2:$U$506,"W")</f>
        <v/>
      </c>
      <c r="D21">
        <f>COUNTIFS(Bets!$A$2:$A$506,"&lt;&gt;",Bets!$B$2:$B$506,"*",Bets!$E$2:$E$506,"&gt;="&amp;$C$3,Bets!$U$2:$U$506,"L")</f>
        <v/>
      </c>
      <c r="E21">
        <f>COUNTIFS(Bets!$A$2:$A$506,"&lt;&gt;",Bets!$B$2:$B$506,"*",Bets!$E$2:$E$506,"&gt;="&amp;$C$3,Bets!$U$2:$U$506,"Push")</f>
        <v/>
      </c>
      <c r="F21">
        <f>COUNTIFS(Bets!$A$2:$A$506,"&lt;&gt;",Bets!$B$2:$B$506,"*",Bets!$E$2:$E$506,"&gt;="&amp;$C$3,Bets!$U$2:$U$506,"Pending")</f>
        <v/>
      </c>
      <c r="G21">
        <f>COUNTIFS(Bets!$A$2:$A$506,"&lt;&gt;",Bets!$B$2:$B$506,"*",Bets!$E$2:$E$506,"&gt;="&amp;$C$3,Bets!$U$2:$U$506,"Unknown")</f>
        <v/>
      </c>
      <c r="H21" s="9">
        <f>IF(C21+D21=0,"",C21/(C21+D21))</f>
        <v/>
      </c>
      <c r="I21" s="10">
        <f>SUMIFS(Bets!$Q$2:$Q$506,Bets!$A$2:$A$506,"&lt;&gt;",Bets!$B$2:$B$506,"*",Bets!$E$2:$E$506,"&gt;="&amp;$C$3)</f>
        <v/>
      </c>
      <c r="J21" s="10">
        <f>SUMIFS(Bets!$AC$2:$AC$506,Bets!$A$2:$A$506,"&lt;&gt;",Bets!$B$2:$B$506,"*",Bets!$E$2:$E$506,"&gt;="&amp;$C$3)</f>
        <v/>
      </c>
      <c r="K21" s="11">
        <f>SUMIFS(Bets!$V$2:$V$506,Bets!$A$2:$A$506,"&lt;&gt;",Bets!$B$2:$B$506,"*",Bets!$E$2:$E$506,"&gt;="&amp;$C$3)</f>
        <v/>
      </c>
      <c r="L21" s="12">
        <f>IF(J21=0,"",K21/J21)</f>
        <v/>
      </c>
      <c r="M21" s="13">
        <f>SUMIFS(Bets!$AD$2:$AD$506,Bets!$A$2:$A$506,"&lt;&gt;",Bets!$B$2:$B$506,"*",Bets!$E$2:$E$506,"&gt;="&amp;$C$3)</f>
        <v/>
      </c>
      <c r="N21" s="14">
        <f>SUMIFS(Bets!$W$2:$W$506,Bets!$A$2:$A$506,"&lt;&gt;",Bets!$B$2:$B$506,"*",Bets!$E$2:$E$506,"&gt;="&amp;$C$3)</f>
        <v/>
      </c>
      <c r="O21" s="12">
        <f>IF(M21=0,"",N21/M21)</f>
        <v/>
      </c>
    </row>
    <row r="23">
      <c r="A23" s="7" t="inlineStr">
        <is>
          <t>Football only (NFL + CFB), all dates</t>
        </is>
      </c>
    </row>
    <row r="24">
      <c r="A24" s="8" t="inlineStr">
        <is>
          <t>Bettor</t>
        </is>
      </c>
      <c r="B24" s="8" t="inlineStr">
        <is>
          <t>Bets</t>
        </is>
      </c>
      <c r="C24" s="8" t="inlineStr">
        <is>
          <t>W</t>
        </is>
      </c>
      <c r="D24" s="8" t="inlineStr">
        <is>
          <t>L</t>
        </is>
      </c>
      <c r="E24" s="8" t="inlineStr">
        <is>
          <t>Push</t>
        </is>
      </c>
      <c r="F24" s="8" t="inlineStr">
        <is>
          <t>Pending</t>
        </is>
      </c>
      <c r="G24" s="8" t="inlineStr">
        <is>
          <t>Unknown</t>
        </is>
      </c>
      <c r="H24" s="8" t="inlineStr">
        <is>
          <t>Win % (W/(W+L))</t>
        </is>
      </c>
      <c r="I24" s="8" t="inlineStr">
        <is>
          <t>Total staked $ (all $ bets)</t>
        </is>
      </c>
      <c r="J24" s="8" t="inlineStr">
        <is>
          <t>Settled staked $</t>
        </is>
      </c>
      <c r="K24" s="8" t="inlineStr">
        <is>
          <t>Net P/L $</t>
        </is>
      </c>
      <c r="L24" s="8" t="inlineStr">
        <is>
          <t>ROI (net / settled $)</t>
        </is>
      </c>
      <c r="M24" s="8" t="inlineStr">
        <is>
          <t>Units staked (settled)</t>
        </is>
      </c>
      <c r="N24" s="8" t="inlineStr">
        <is>
          <t>Net units</t>
        </is>
      </c>
      <c r="O24" s="8" t="inlineStr">
        <is>
          <t>ROI (units)</t>
        </is>
      </c>
    </row>
    <row r="25">
      <c r="A25" t="inlineStr">
        <is>
          <t>Trent (@BookitWithTrent)</t>
        </is>
      </c>
      <c r="B25">
        <f>COUNTIFS(Bets!$A$2:$A$506,"&lt;&gt;",Bets!$B$2:$B$506,"Trent",Bets!$J$2:$J$506,"NFL")</f>
        <v/>
      </c>
      <c r="C25">
        <f>COUNTIFS(Bets!$A$2:$A$506,"&lt;&gt;",Bets!$B$2:$B$506,"Trent",Bets!$J$2:$J$506,"NFL",Bets!$U$2:$U$506,"W")</f>
        <v/>
      </c>
      <c r="D25">
        <f>COUNTIFS(Bets!$A$2:$A$506,"&lt;&gt;",Bets!$B$2:$B$506,"Trent",Bets!$J$2:$J$506,"NFL",Bets!$U$2:$U$506,"L")</f>
        <v/>
      </c>
      <c r="E25">
        <f>COUNTIFS(Bets!$A$2:$A$506,"&lt;&gt;",Bets!$B$2:$B$506,"Trent",Bets!$J$2:$J$506,"NFL",Bets!$U$2:$U$506,"Push")</f>
        <v/>
      </c>
      <c r="F25">
        <f>COUNTIFS(Bets!$A$2:$A$506,"&lt;&gt;",Bets!$B$2:$B$506,"Trent",Bets!$J$2:$J$506,"NFL",Bets!$U$2:$U$506,"Pending")</f>
        <v/>
      </c>
      <c r="G25">
        <f>COUNTIFS(Bets!$A$2:$A$506,"&lt;&gt;",Bets!$B$2:$B$506,"Trent",Bets!$J$2:$J$506,"NFL",Bets!$U$2:$U$506,"Unknown")</f>
        <v/>
      </c>
      <c r="H25" s="9">
        <f>IF(C25+D25=0,"",C25/(C25+D25))</f>
        <v/>
      </c>
      <c r="I25" s="10">
        <f>SUMIFS(Bets!$Q$2:$Q$506,Bets!$A$2:$A$506,"&lt;&gt;",Bets!$B$2:$B$506,"Trent",Bets!$J$2:$J$506,"NFL")</f>
        <v/>
      </c>
      <c r="J25" s="10">
        <f>SUMIFS(Bets!$AC$2:$AC$506,Bets!$A$2:$A$506,"&lt;&gt;",Bets!$B$2:$B$506,"Trent",Bets!$J$2:$J$506,"NFL")</f>
        <v/>
      </c>
      <c r="K25" s="11">
        <f>SUMIFS(Bets!$V$2:$V$506,Bets!$A$2:$A$506,"&lt;&gt;",Bets!$B$2:$B$506,"Trent",Bets!$J$2:$J$506,"NFL")</f>
        <v/>
      </c>
      <c r="L25" s="12">
        <f>IF(J25=0,"",K25/J25)</f>
        <v/>
      </c>
      <c r="M25" s="13">
        <f>SUMIFS(Bets!$AD$2:$AD$506,Bets!$A$2:$A$506,"&lt;&gt;",Bets!$B$2:$B$506,"Trent",Bets!$J$2:$J$506,"NFL")</f>
        <v/>
      </c>
      <c r="N25" s="14">
        <f>SUMIFS(Bets!$W$2:$W$506,Bets!$A$2:$A$506,"&lt;&gt;",Bets!$B$2:$B$506,"Trent",Bets!$J$2:$J$506,"NFL")</f>
        <v/>
      </c>
      <c r="O25" s="12">
        <f>IF(M25=0,"",N25/M25)</f>
        <v/>
      </c>
    </row>
    <row r="26">
      <c r="A26" t="inlineStr">
        <is>
          <t>Steve (@stevewilldoit)</t>
        </is>
      </c>
      <c r="B26">
        <f>COUNTIFS(Bets!$A$2:$A$506,"&lt;&gt;",Bets!$B$2:$B$506,"Steve",Bets!$J$2:$J$506,"NFL")</f>
        <v/>
      </c>
      <c r="C26">
        <f>COUNTIFS(Bets!$A$2:$A$506,"&lt;&gt;",Bets!$B$2:$B$506,"Steve",Bets!$J$2:$J$506,"NFL",Bets!$U$2:$U$506,"W")</f>
        <v/>
      </c>
      <c r="D26">
        <f>COUNTIFS(Bets!$A$2:$A$506,"&lt;&gt;",Bets!$B$2:$B$506,"Steve",Bets!$J$2:$J$506,"NFL",Bets!$U$2:$U$506,"L")</f>
        <v/>
      </c>
      <c r="E26">
        <f>COUNTIFS(Bets!$A$2:$A$506,"&lt;&gt;",Bets!$B$2:$B$506,"Steve",Bets!$J$2:$J$506,"NFL",Bets!$U$2:$U$506,"Push")</f>
        <v/>
      </c>
      <c r="F26">
        <f>COUNTIFS(Bets!$A$2:$A$506,"&lt;&gt;",Bets!$B$2:$B$506,"Steve",Bets!$J$2:$J$506,"NFL",Bets!$U$2:$U$506,"Pending")</f>
        <v/>
      </c>
      <c r="G26">
        <f>COUNTIFS(Bets!$A$2:$A$506,"&lt;&gt;",Bets!$B$2:$B$506,"Steve",Bets!$J$2:$J$506,"NFL",Bets!$U$2:$U$506,"Unknown")</f>
        <v/>
      </c>
      <c r="H26" s="9">
        <f>IF(C26+D26=0,"",C26/(C26+D26))</f>
        <v/>
      </c>
      <c r="I26" s="10">
        <f>SUMIFS(Bets!$Q$2:$Q$506,Bets!$A$2:$A$506,"&lt;&gt;",Bets!$B$2:$B$506,"Steve",Bets!$J$2:$J$506,"NFL")</f>
        <v/>
      </c>
      <c r="J26" s="10">
        <f>SUMIFS(Bets!$AC$2:$AC$506,Bets!$A$2:$A$506,"&lt;&gt;",Bets!$B$2:$B$506,"Steve",Bets!$J$2:$J$506,"NFL")</f>
        <v/>
      </c>
      <c r="K26" s="11">
        <f>SUMIFS(Bets!$V$2:$V$506,Bets!$A$2:$A$506,"&lt;&gt;",Bets!$B$2:$B$506,"Steve",Bets!$J$2:$J$506,"NFL")</f>
        <v/>
      </c>
      <c r="L26" s="12">
        <f>IF(J26=0,"",K26/J26)</f>
        <v/>
      </c>
      <c r="M26" s="13">
        <f>SUMIFS(Bets!$AD$2:$AD$506,Bets!$A$2:$A$506,"&lt;&gt;",Bets!$B$2:$B$506,"Steve",Bets!$J$2:$J$506,"NFL")</f>
        <v/>
      </c>
      <c r="N26" s="14">
        <f>SUMIFS(Bets!$W$2:$W$506,Bets!$A$2:$A$506,"&lt;&gt;",Bets!$B$2:$B$506,"Steve",Bets!$J$2:$J$506,"NFL")</f>
        <v/>
      </c>
      <c r="O26" s="12">
        <f>IF(M26=0,"",N26/M26)</f>
        <v/>
      </c>
    </row>
    <row r="27">
      <c r="A27" t="inlineStr">
        <is>
          <t>Combined</t>
        </is>
      </c>
      <c r="B27">
        <f>COUNTIFS(Bets!$A$2:$A$506,"&lt;&gt;",Bets!$B$2:$B$506,"*",Bets!$J$2:$J$506,"NFL")</f>
        <v/>
      </c>
      <c r="C27">
        <f>COUNTIFS(Bets!$A$2:$A$506,"&lt;&gt;",Bets!$B$2:$B$506,"*",Bets!$J$2:$J$506,"NFL",Bets!$U$2:$U$506,"W")</f>
        <v/>
      </c>
      <c r="D27">
        <f>COUNTIFS(Bets!$A$2:$A$506,"&lt;&gt;",Bets!$B$2:$B$506,"*",Bets!$J$2:$J$506,"NFL",Bets!$U$2:$U$506,"L")</f>
        <v/>
      </c>
      <c r="E27">
        <f>COUNTIFS(Bets!$A$2:$A$506,"&lt;&gt;",Bets!$B$2:$B$506,"*",Bets!$J$2:$J$506,"NFL",Bets!$U$2:$U$506,"Push")</f>
        <v/>
      </c>
      <c r="F27">
        <f>COUNTIFS(Bets!$A$2:$A$506,"&lt;&gt;",Bets!$B$2:$B$506,"*",Bets!$J$2:$J$506,"NFL",Bets!$U$2:$U$506,"Pending")</f>
        <v/>
      </c>
      <c r="G27">
        <f>COUNTIFS(Bets!$A$2:$A$506,"&lt;&gt;",Bets!$B$2:$B$506,"*",Bets!$J$2:$J$506,"NFL",Bets!$U$2:$U$506,"Unknown")</f>
        <v/>
      </c>
      <c r="H27" s="9">
        <f>IF(C27+D27=0,"",C27/(C27+D27))</f>
        <v/>
      </c>
      <c r="I27" s="10">
        <f>SUMIFS(Bets!$Q$2:$Q$506,Bets!$A$2:$A$506,"&lt;&gt;",Bets!$B$2:$B$506,"*",Bets!$J$2:$J$506,"NFL")</f>
        <v/>
      </c>
      <c r="J27" s="10">
        <f>SUMIFS(Bets!$AC$2:$AC$506,Bets!$A$2:$A$506,"&lt;&gt;",Bets!$B$2:$B$506,"*",Bets!$J$2:$J$506,"NFL")</f>
        <v/>
      </c>
      <c r="K27" s="11">
        <f>SUMIFS(Bets!$V$2:$V$506,Bets!$A$2:$A$506,"&lt;&gt;",Bets!$B$2:$B$506,"*",Bets!$J$2:$J$506,"NFL")</f>
        <v/>
      </c>
      <c r="L27" s="12">
        <f>IF(J27=0,"",K27/J27)</f>
        <v/>
      </c>
      <c r="M27" s="13">
        <f>SUMIFS(Bets!$AD$2:$AD$506,Bets!$A$2:$A$506,"&lt;&gt;",Bets!$B$2:$B$506,"*",Bets!$J$2:$J$506,"NFL")</f>
        <v/>
      </c>
      <c r="N27" s="14">
        <f>SUMIFS(Bets!$W$2:$W$506,Bets!$A$2:$A$506,"&lt;&gt;",Bets!$B$2:$B$506,"*",Bets!$J$2:$J$506,"NFL")</f>
        <v/>
      </c>
      <c r="O27" s="12">
        <f>IF(M27=0,"",N27/M27)</f>
        <v/>
      </c>
    </row>
    <row r="28">
      <c r="A28" t="inlineStr">
        <is>
          <t>Trent (@BookitWithTrent) – CFB</t>
        </is>
      </c>
      <c r="B28">
        <f>COUNTIFS(Bets!$A$2:$A$506,"&lt;&gt;",Bets!$B$2:$B$506,"Trent",Bets!$J$2:$J$506,"CFB")</f>
        <v/>
      </c>
      <c r="C28">
        <f>COUNTIFS(Bets!$A$2:$A$506,"&lt;&gt;",Bets!$B$2:$B$506,"Trent",Bets!$J$2:$J$506,"CFB",Bets!$U$2:$U$506,"W")</f>
        <v/>
      </c>
      <c r="D28">
        <f>COUNTIFS(Bets!$A$2:$A$506,"&lt;&gt;",Bets!$B$2:$B$506,"Trent",Bets!$J$2:$J$506,"CFB",Bets!$U$2:$U$506,"L")</f>
        <v/>
      </c>
      <c r="E28">
        <f>COUNTIFS(Bets!$A$2:$A$506,"&lt;&gt;",Bets!$B$2:$B$506,"Trent",Bets!$J$2:$J$506,"CFB",Bets!$U$2:$U$506,"Push")</f>
        <v/>
      </c>
      <c r="F28">
        <f>COUNTIFS(Bets!$A$2:$A$506,"&lt;&gt;",Bets!$B$2:$B$506,"Trent",Bets!$J$2:$J$506,"CFB",Bets!$U$2:$U$506,"Pending")</f>
        <v/>
      </c>
      <c r="G28">
        <f>COUNTIFS(Bets!$A$2:$A$506,"&lt;&gt;",Bets!$B$2:$B$506,"Trent",Bets!$J$2:$J$506,"CFB",Bets!$U$2:$U$506,"Unknown")</f>
        <v/>
      </c>
      <c r="H28" s="9">
        <f>IF(C28+D28=0,"",C28/(C28+D28))</f>
        <v/>
      </c>
      <c r="I28" s="10">
        <f>SUMIFS(Bets!$Q$2:$Q$506,Bets!$A$2:$A$506,"&lt;&gt;",Bets!$B$2:$B$506,"Trent",Bets!$J$2:$J$506,"CFB")</f>
        <v/>
      </c>
      <c r="J28" s="10">
        <f>SUMIFS(Bets!$AC$2:$AC$506,Bets!$A$2:$A$506,"&lt;&gt;",Bets!$B$2:$B$506,"Trent",Bets!$J$2:$J$506,"CFB")</f>
        <v/>
      </c>
      <c r="K28" s="11">
        <f>SUMIFS(Bets!$V$2:$V$506,Bets!$A$2:$A$506,"&lt;&gt;",Bets!$B$2:$B$506,"Trent",Bets!$J$2:$J$506,"CFB")</f>
        <v/>
      </c>
      <c r="L28" s="12">
        <f>IF(J28=0,"",K28/J28)</f>
        <v/>
      </c>
      <c r="M28" s="13">
        <f>SUMIFS(Bets!$AD$2:$AD$506,Bets!$A$2:$A$506,"&lt;&gt;",Bets!$B$2:$B$506,"Trent",Bets!$J$2:$J$506,"CFB")</f>
        <v/>
      </c>
      <c r="N28" s="14">
        <f>SUMIFS(Bets!$W$2:$W$506,Bets!$A$2:$A$506,"&lt;&gt;",Bets!$B$2:$B$506,"Trent",Bets!$J$2:$J$506,"CFB")</f>
        <v/>
      </c>
      <c r="O28" s="12">
        <f>IF(M28=0,"",N28/M28)</f>
        <v/>
      </c>
    </row>
    <row r="29">
      <c r="A29" t="inlineStr">
        <is>
          <t>Steve (@stevewilldoit) – CFB</t>
        </is>
      </c>
      <c r="B29">
        <f>COUNTIFS(Bets!$A$2:$A$506,"&lt;&gt;",Bets!$B$2:$B$506,"Steve",Bets!$J$2:$J$506,"CFB")</f>
        <v/>
      </c>
      <c r="C29">
        <f>COUNTIFS(Bets!$A$2:$A$506,"&lt;&gt;",Bets!$B$2:$B$506,"Steve",Bets!$J$2:$J$506,"CFB",Bets!$U$2:$U$506,"W")</f>
        <v/>
      </c>
      <c r="D29">
        <f>COUNTIFS(Bets!$A$2:$A$506,"&lt;&gt;",Bets!$B$2:$B$506,"Steve",Bets!$J$2:$J$506,"CFB",Bets!$U$2:$U$506,"L")</f>
        <v/>
      </c>
      <c r="E29">
        <f>COUNTIFS(Bets!$A$2:$A$506,"&lt;&gt;",Bets!$B$2:$B$506,"Steve",Bets!$J$2:$J$506,"CFB",Bets!$U$2:$U$506,"Push")</f>
        <v/>
      </c>
      <c r="F29">
        <f>COUNTIFS(Bets!$A$2:$A$506,"&lt;&gt;",Bets!$B$2:$B$506,"Steve",Bets!$J$2:$J$506,"CFB",Bets!$U$2:$U$506,"Pending")</f>
        <v/>
      </c>
      <c r="G29">
        <f>COUNTIFS(Bets!$A$2:$A$506,"&lt;&gt;",Bets!$B$2:$B$506,"Steve",Bets!$J$2:$J$506,"CFB",Bets!$U$2:$U$506,"Unknown")</f>
        <v/>
      </c>
      <c r="H29" s="9">
        <f>IF(C29+D29=0,"",C29/(C29+D29))</f>
        <v/>
      </c>
      <c r="I29" s="10">
        <f>SUMIFS(Bets!$Q$2:$Q$506,Bets!$A$2:$A$506,"&lt;&gt;",Bets!$B$2:$B$506,"Steve",Bets!$J$2:$J$506,"CFB")</f>
        <v/>
      </c>
      <c r="J29" s="10">
        <f>SUMIFS(Bets!$AC$2:$AC$506,Bets!$A$2:$A$506,"&lt;&gt;",Bets!$B$2:$B$506,"Steve",Bets!$J$2:$J$506,"CFB")</f>
        <v/>
      </c>
      <c r="K29" s="11">
        <f>SUMIFS(Bets!$V$2:$V$506,Bets!$A$2:$A$506,"&lt;&gt;",Bets!$B$2:$B$506,"Steve",Bets!$J$2:$J$506,"CFB")</f>
        <v/>
      </c>
      <c r="L29" s="12">
        <f>IF(J29=0,"",K29/J29)</f>
        <v/>
      </c>
      <c r="M29" s="13">
        <f>SUMIFS(Bets!$AD$2:$AD$506,Bets!$A$2:$A$506,"&lt;&gt;",Bets!$B$2:$B$506,"Steve",Bets!$J$2:$J$506,"CFB")</f>
        <v/>
      </c>
      <c r="N29" s="14">
        <f>SUMIFS(Bets!$W$2:$W$506,Bets!$A$2:$A$506,"&lt;&gt;",Bets!$B$2:$B$506,"Steve",Bets!$J$2:$J$506,"CFB")</f>
        <v/>
      </c>
      <c r="O29" s="12">
        <f>IF(M29=0,"",N29/M29)</f>
        <v/>
      </c>
    </row>
    <row r="30">
      <c r="A30" t="inlineStr">
        <is>
          <t>Combined – CFB</t>
        </is>
      </c>
      <c r="B30">
        <f>COUNTIFS(Bets!$A$2:$A$506,"&lt;&gt;",Bets!$B$2:$B$506,"*",Bets!$J$2:$J$506,"CFB")</f>
        <v/>
      </c>
      <c r="C30">
        <f>COUNTIFS(Bets!$A$2:$A$506,"&lt;&gt;",Bets!$B$2:$B$506,"*",Bets!$J$2:$J$506,"CFB",Bets!$U$2:$U$506,"W")</f>
        <v/>
      </c>
      <c r="D30">
        <f>COUNTIFS(Bets!$A$2:$A$506,"&lt;&gt;",Bets!$B$2:$B$506,"*",Bets!$J$2:$J$506,"CFB",Bets!$U$2:$U$506,"L")</f>
        <v/>
      </c>
      <c r="E30">
        <f>COUNTIFS(Bets!$A$2:$A$506,"&lt;&gt;",Bets!$B$2:$B$506,"*",Bets!$J$2:$J$506,"CFB",Bets!$U$2:$U$506,"Push")</f>
        <v/>
      </c>
      <c r="F30">
        <f>COUNTIFS(Bets!$A$2:$A$506,"&lt;&gt;",Bets!$B$2:$B$506,"*",Bets!$J$2:$J$506,"CFB",Bets!$U$2:$U$506,"Pending")</f>
        <v/>
      </c>
      <c r="G30">
        <f>COUNTIFS(Bets!$A$2:$A$506,"&lt;&gt;",Bets!$B$2:$B$506,"*",Bets!$J$2:$J$506,"CFB",Bets!$U$2:$U$506,"Unknown")</f>
        <v/>
      </c>
      <c r="H30" s="9">
        <f>IF(C30+D30=0,"",C30/(C30+D30))</f>
        <v/>
      </c>
      <c r="I30" s="10">
        <f>SUMIFS(Bets!$Q$2:$Q$506,Bets!$A$2:$A$506,"&lt;&gt;",Bets!$B$2:$B$506,"*",Bets!$J$2:$J$506,"CFB")</f>
        <v/>
      </c>
      <c r="J30" s="10">
        <f>SUMIFS(Bets!$AC$2:$AC$506,Bets!$A$2:$A$506,"&lt;&gt;",Bets!$B$2:$B$506,"*",Bets!$J$2:$J$506,"CFB")</f>
        <v/>
      </c>
      <c r="K30" s="11">
        <f>SUMIFS(Bets!$V$2:$V$506,Bets!$A$2:$A$506,"&lt;&gt;",Bets!$B$2:$B$506,"*",Bets!$J$2:$J$506,"CFB")</f>
        <v/>
      </c>
      <c r="L30" s="12">
        <f>IF(J30=0,"",K30/J30)</f>
        <v/>
      </c>
      <c r="M30" s="13">
        <f>SUMIFS(Bets!$AD$2:$AD$506,Bets!$A$2:$A$506,"&lt;&gt;",Bets!$B$2:$B$506,"*",Bets!$J$2:$J$506,"CFB")</f>
        <v/>
      </c>
      <c r="N30" s="14">
        <f>SUMIFS(Bets!$W$2:$W$506,Bets!$A$2:$A$506,"&lt;&gt;",Bets!$B$2:$B$506,"*",Bets!$J$2:$J$506,"CFB")</f>
        <v/>
      </c>
      <c r="O30" s="12">
        <f>IF(M30=0,"",N30/M30)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6" t="inlineStr">
        <is>
          <t>Record / staked / P&amp;L / ROI by sport category</t>
        </is>
      </c>
    </row>
    <row r="3">
      <c r="A3" s="7" t="inlineStr">
        <is>
          <t>Trent (@BookitWithTrent)</t>
        </is>
      </c>
    </row>
    <row r="4">
      <c r="A4" s="8" t="inlineStr">
        <is>
          <t>Bettor</t>
        </is>
      </c>
      <c r="B4" s="8" t="inlineStr">
        <is>
          <t>Sport</t>
        </is>
      </c>
      <c r="C4" s="8" t="inlineStr">
        <is>
          <t>Bets</t>
        </is>
      </c>
      <c r="D4" s="8" t="inlineStr">
        <is>
          <t>W</t>
        </is>
      </c>
      <c r="E4" s="8" t="inlineStr">
        <is>
          <t>L</t>
        </is>
      </c>
      <c r="F4" s="8" t="inlineStr">
        <is>
          <t>Push</t>
        </is>
      </c>
      <c r="G4" s="8" t="inlineStr">
        <is>
          <t>Pending</t>
        </is>
      </c>
      <c r="H4" s="8" t="inlineStr">
        <is>
          <t>Unknown</t>
        </is>
      </c>
      <c r="I4" s="8" t="inlineStr">
        <is>
          <t>Win % (W/(W+L))</t>
        </is>
      </c>
      <c r="J4" s="8" t="inlineStr">
        <is>
          <t>Total staked $ (all $ bets)</t>
        </is>
      </c>
      <c r="K4" s="8" t="inlineStr">
        <is>
          <t>Settled staked $</t>
        </is>
      </c>
      <c r="L4" s="8" t="inlineStr">
        <is>
          <t>Net P/L $</t>
        </is>
      </c>
      <c r="M4" s="8" t="inlineStr">
        <is>
          <t>ROI (net / settled $)</t>
        </is>
      </c>
      <c r="N4" s="8" t="inlineStr">
        <is>
          <t>Units staked (settled)</t>
        </is>
      </c>
      <c r="O4" s="8" t="inlineStr">
        <is>
          <t>Net units</t>
        </is>
      </c>
      <c r="P4" s="8" t="inlineStr">
        <is>
          <t>ROI (units)</t>
        </is>
      </c>
    </row>
    <row r="5">
      <c r="A5" t="inlineStr">
        <is>
          <t>Trent (@BookitWithTrent)</t>
        </is>
      </c>
      <c r="B5" t="inlineStr">
        <is>
          <t>CFB</t>
        </is>
      </c>
      <c r="C5">
        <f>COUNTIFS(Bets!$A$2:$A$506,"&lt;&gt;",Bets!$B$2:$B$506,"Trent",Bets!$J$2:$J$506,"CFB")</f>
        <v/>
      </c>
      <c r="D5">
        <f>COUNTIFS(Bets!$A$2:$A$506,"&lt;&gt;",Bets!$B$2:$B$506,"Trent",Bets!$J$2:$J$506,"CFB",Bets!$U$2:$U$506,"W")</f>
        <v/>
      </c>
      <c r="E5">
        <f>COUNTIFS(Bets!$A$2:$A$506,"&lt;&gt;",Bets!$B$2:$B$506,"Trent",Bets!$J$2:$J$506,"CFB",Bets!$U$2:$U$506,"L")</f>
        <v/>
      </c>
      <c r="F5">
        <f>COUNTIFS(Bets!$A$2:$A$506,"&lt;&gt;",Bets!$B$2:$B$506,"Trent",Bets!$J$2:$J$506,"CFB",Bets!$U$2:$U$506,"Push")</f>
        <v/>
      </c>
      <c r="G5">
        <f>COUNTIFS(Bets!$A$2:$A$506,"&lt;&gt;",Bets!$B$2:$B$506,"Trent",Bets!$J$2:$J$506,"CFB",Bets!$U$2:$U$506,"Pending")</f>
        <v/>
      </c>
      <c r="H5">
        <f>COUNTIFS(Bets!$A$2:$A$506,"&lt;&gt;",Bets!$B$2:$B$506,"Trent",Bets!$J$2:$J$506,"CFB",Bets!$U$2:$U$506,"Unknown")</f>
        <v/>
      </c>
      <c r="I5" s="9">
        <f>IF(D5+E5=0,"",D5/(D5+E5))</f>
        <v/>
      </c>
      <c r="J5" s="10">
        <f>SUMIFS(Bets!$Q$2:$Q$506,Bets!$A$2:$A$506,"&lt;&gt;",Bets!$B$2:$B$506,"Trent",Bets!$J$2:$J$506,"CFB")</f>
        <v/>
      </c>
      <c r="K5" s="10">
        <f>SUMIFS(Bets!$AC$2:$AC$506,Bets!$A$2:$A$506,"&lt;&gt;",Bets!$B$2:$B$506,"Trent",Bets!$J$2:$J$506,"CFB")</f>
        <v/>
      </c>
      <c r="L5" s="11">
        <f>SUMIFS(Bets!$V$2:$V$506,Bets!$A$2:$A$506,"&lt;&gt;",Bets!$B$2:$B$506,"Trent",Bets!$J$2:$J$506,"CFB")</f>
        <v/>
      </c>
      <c r="M5" s="12">
        <f>IF(K5=0,"",L5/K5)</f>
        <v/>
      </c>
      <c r="N5" s="13">
        <f>SUMIFS(Bets!$AD$2:$AD$506,Bets!$A$2:$A$506,"&lt;&gt;",Bets!$B$2:$B$506,"Trent",Bets!$J$2:$J$506,"CFB")</f>
        <v/>
      </c>
      <c r="O5" s="14">
        <f>SUMIFS(Bets!$W$2:$W$506,Bets!$A$2:$A$506,"&lt;&gt;",Bets!$B$2:$B$506,"Trent",Bets!$J$2:$J$506,"CFB")</f>
        <v/>
      </c>
      <c r="P5" s="12">
        <f>IF(N5=0,"",O5/N5)</f>
        <v/>
      </c>
    </row>
    <row r="6">
      <c r="A6" t="inlineStr">
        <is>
          <t>Trent (@BookitWithTrent)</t>
        </is>
      </c>
      <c r="B6" t="inlineStr">
        <is>
          <t>MLB</t>
        </is>
      </c>
      <c r="C6">
        <f>COUNTIFS(Bets!$A$2:$A$506,"&lt;&gt;",Bets!$B$2:$B$506,"Trent",Bets!$J$2:$J$506,"MLB")</f>
        <v/>
      </c>
      <c r="D6">
        <f>COUNTIFS(Bets!$A$2:$A$506,"&lt;&gt;",Bets!$B$2:$B$506,"Trent",Bets!$J$2:$J$506,"MLB",Bets!$U$2:$U$506,"W")</f>
        <v/>
      </c>
      <c r="E6">
        <f>COUNTIFS(Bets!$A$2:$A$506,"&lt;&gt;",Bets!$B$2:$B$506,"Trent",Bets!$J$2:$J$506,"MLB",Bets!$U$2:$U$506,"L")</f>
        <v/>
      </c>
      <c r="F6">
        <f>COUNTIFS(Bets!$A$2:$A$506,"&lt;&gt;",Bets!$B$2:$B$506,"Trent",Bets!$J$2:$J$506,"MLB",Bets!$U$2:$U$506,"Push")</f>
        <v/>
      </c>
      <c r="G6">
        <f>COUNTIFS(Bets!$A$2:$A$506,"&lt;&gt;",Bets!$B$2:$B$506,"Trent",Bets!$J$2:$J$506,"MLB",Bets!$U$2:$U$506,"Pending")</f>
        <v/>
      </c>
      <c r="H6">
        <f>COUNTIFS(Bets!$A$2:$A$506,"&lt;&gt;",Bets!$B$2:$B$506,"Trent",Bets!$J$2:$J$506,"MLB",Bets!$U$2:$U$506,"Unknown")</f>
        <v/>
      </c>
      <c r="I6" s="9">
        <f>IF(D6+E6=0,"",D6/(D6+E6))</f>
        <v/>
      </c>
      <c r="J6" s="10">
        <f>SUMIFS(Bets!$Q$2:$Q$506,Bets!$A$2:$A$506,"&lt;&gt;",Bets!$B$2:$B$506,"Trent",Bets!$J$2:$J$506,"MLB")</f>
        <v/>
      </c>
      <c r="K6" s="10">
        <f>SUMIFS(Bets!$AC$2:$AC$506,Bets!$A$2:$A$506,"&lt;&gt;",Bets!$B$2:$B$506,"Trent",Bets!$J$2:$J$506,"MLB")</f>
        <v/>
      </c>
      <c r="L6" s="11">
        <f>SUMIFS(Bets!$V$2:$V$506,Bets!$A$2:$A$506,"&lt;&gt;",Bets!$B$2:$B$506,"Trent",Bets!$J$2:$J$506,"MLB")</f>
        <v/>
      </c>
      <c r="M6" s="12">
        <f>IF(K6=0,"",L6/K6)</f>
        <v/>
      </c>
      <c r="N6" s="13">
        <f>SUMIFS(Bets!$AD$2:$AD$506,Bets!$A$2:$A$506,"&lt;&gt;",Bets!$B$2:$B$506,"Trent",Bets!$J$2:$J$506,"MLB")</f>
        <v/>
      </c>
      <c r="O6" s="14">
        <f>SUMIFS(Bets!$W$2:$W$506,Bets!$A$2:$A$506,"&lt;&gt;",Bets!$B$2:$B$506,"Trent",Bets!$J$2:$J$506,"MLB")</f>
        <v/>
      </c>
      <c r="P6" s="12">
        <f>IF(N6=0,"",O6/N6)</f>
        <v/>
      </c>
    </row>
    <row r="7">
      <c r="A7" t="inlineStr">
        <is>
          <t>Trent (@BookitWithTrent)</t>
        </is>
      </c>
      <c r="B7" t="inlineStr">
        <is>
          <t>NFL</t>
        </is>
      </c>
      <c r="C7">
        <f>COUNTIFS(Bets!$A$2:$A$506,"&lt;&gt;",Bets!$B$2:$B$506,"Trent",Bets!$J$2:$J$506,"NFL")</f>
        <v/>
      </c>
      <c r="D7">
        <f>COUNTIFS(Bets!$A$2:$A$506,"&lt;&gt;",Bets!$B$2:$B$506,"Trent",Bets!$J$2:$J$506,"NFL",Bets!$U$2:$U$506,"W")</f>
        <v/>
      </c>
      <c r="E7">
        <f>COUNTIFS(Bets!$A$2:$A$506,"&lt;&gt;",Bets!$B$2:$B$506,"Trent",Bets!$J$2:$J$506,"NFL",Bets!$U$2:$U$506,"L")</f>
        <v/>
      </c>
      <c r="F7">
        <f>COUNTIFS(Bets!$A$2:$A$506,"&lt;&gt;",Bets!$B$2:$B$506,"Trent",Bets!$J$2:$J$506,"NFL",Bets!$U$2:$U$506,"Push")</f>
        <v/>
      </c>
      <c r="G7">
        <f>COUNTIFS(Bets!$A$2:$A$506,"&lt;&gt;",Bets!$B$2:$B$506,"Trent",Bets!$J$2:$J$506,"NFL",Bets!$U$2:$U$506,"Pending")</f>
        <v/>
      </c>
      <c r="H7">
        <f>COUNTIFS(Bets!$A$2:$A$506,"&lt;&gt;",Bets!$B$2:$B$506,"Trent",Bets!$J$2:$J$506,"NFL",Bets!$U$2:$U$506,"Unknown")</f>
        <v/>
      </c>
      <c r="I7" s="9">
        <f>IF(D7+E7=0,"",D7/(D7+E7))</f>
        <v/>
      </c>
      <c r="J7" s="10">
        <f>SUMIFS(Bets!$Q$2:$Q$506,Bets!$A$2:$A$506,"&lt;&gt;",Bets!$B$2:$B$506,"Trent",Bets!$J$2:$J$506,"NFL")</f>
        <v/>
      </c>
      <c r="K7" s="10">
        <f>SUMIFS(Bets!$AC$2:$AC$506,Bets!$A$2:$A$506,"&lt;&gt;",Bets!$B$2:$B$506,"Trent",Bets!$J$2:$J$506,"NFL")</f>
        <v/>
      </c>
      <c r="L7" s="11">
        <f>SUMIFS(Bets!$V$2:$V$506,Bets!$A$2:$A$506,"&lt;&gt;",Bets!$B$2:$B$506,"Trent",Bets!$J$2:$J$506,"NFL")</f>
        <v/>
      </c>
      <c r="M7" s="12">
        <f>IF(K7=0,"",L7/K7)</f>
        <v/>
      </c>
      <c r="N7" s="13">
        <f>SUMIFS(Bets!$AD$2:$AD$506,Bets!$A$2:$A$506,"&lt;&gt;",Bets!$B$2:$B$506,"Trent",Bets!$J$2:$J$506,"NFL")</f>
        <v/>
      </c>
      <c r="O7" s="14">
        <f>SUMIFS(Bets!$W$2:$W$506,Bets!$A$2:$A$506,"&lt;&gt;",Bets!$B$2:$B$506,"Trent",Bets!$J$2:$J$506,"NFL")</f>
        <v/>
      </c>
      <c r="P7" s="12">
        <f>IF(N7=0,"",O7/N7)</f>
        <v/>
      </c>
    </row>
    <row r="8">
      <c r="A8" t="inlineStr">
        <is>
          <t>Trent (@BookitWithTrent)</t>
        </is>
      </c>
      <c r="B8" t="inlineStr">
        <is>
          <t>Other</t>
        </is>
      </c>
      <c r="C8">
        <f>COUNTIFS(Bets!$A$2:$A$506,"&lt;&gt;",Bets!$B$2:$B$506,"Trent",Bets!$J$2:$J$506,"Other")</f>
        <v/>
      </c>
      <c r="D8">
        <f>COUNTIFS(Bets!$A$2:$A$506,"&lt;&gt;",Bets!$B$2:$B$506,"Trent",Bets!$J$2:$J$506,"Other",Bets!$U$2:$U$506,"W")</f>
        <v/>
      </c>
      <c r="E8">
        <f>COUNTIFS(Bets!$A$2:$A$506,"&lt;&gt;",Bets!$B$2:$B$506,"Trent",Bets!$J$2:$J$506,"Other",Bets!$U$2:$U$506,"L")</f>
        <v/>
      </c>
      <c r="F8">
        <f>COUNTIFS(Bets!$A$2:$A$506,"&lt;&gt;",Bets!$B$2:$B$506,"Trent",Bets!$J$2:$J$506,"Other",Bets!$U$2:$U$506,"Push")</f>
        <v/>
      </c>
      <c r="G8">
        <f>COUNTIFS(Bets!$A$2:$A$506,"&lt;&gt;",Bets!$B$2:$B$506,"Trent",Bets!$J$2:$J$506,"Other",Bets!$U$2:$U$506,"Pending")</f>
        <v/>
      </c>
      <c r="H8">
        <f>COUNTIFS(Bets!$A$2:$A$506,"&lt;&gt;",Bets!$B$2:$B$506,"Trent",Bets!$J$2:$J$506,"Other",Bets!$U$2:$U$506,"Unknown")</f>
        <v/>
      </c>
      <c r="I8" s="9">
        <f>IF(D8+E8=0,"",D8/(D8+E8))</f>
        <v/>
      </c>
      <c r="J8" s="10">
        <f>SUMIFS(Bets!$Q$2:$Q$506,Bets!$A$2:$A$506,"&lt;&gt;",Bets!$B$2:$B$506,"Trent",Bets!$J$2:$J$506,"Other")</f>
        <v/>
      </c>
      <c r="K8" s="10">
        <f>SUMIFS(Bets!$AC$2:$AC$506,Bets!$A$2:$A$506,"&lt;&gt;",Bets!$B$2:$B$506,"Trent",Bets!$J$2:$J$506,"Other")</f>
        <v/>
      </c>
      <c r="L8" s="11">
        <f>SUMIFS(Bets!$V$2:$V$506,Bets!$A$2:$A$506,"&lt;&gt;",Bets!$B$2:$B$506,"Trent",Bets!$J$2:$J$506,"Other")</f>
        <v/>
      </c>
      <c r="M8" s="12">
        <f>IF(K8=0,"",L8/K8)</f>
        <v/>
      </c>
      <c r="N8" s="13">
        <f>SUMIFS(Bets!$AD$2:$AD$506,Bets!$A$2:$A$506,"&lt;&gt;",Bets!$B$2:$B$506,"Trent",Bets!$J$2:$J$506,"Other")</f>
        <v/>
      </c>
      <c r="O8" s="14">
        <f>SUMIFS(Bets!$W$2:$W$506,Bets!$A$2:$A$506,"&lt;&gt;",Bets!$B$2:$B$506,"Trent",Bets!$J$2:$J$506,"Other")</f>
        <v/>
      </c>
      <c r="P8" s="12">
        <f>IF(N8=0,"",O8/N8)</f>
        <v/>
      </c>
    </row>
    <row r="9">
      <c r="A9" t="inlineStr">
        <is>
          <t>Trent (@BookitWithTrent)</t>
        </is>
      </c>
      <c r="B9" t="inlineStr">
        <is>
          <t>Soccer</t>
        </is>
      </c>
      <c r="C9">
        <f>COUNTIFS(Bets!$A$2:$A$506,"&lt;&gt;",Bets!$B$2:$B$506,"Trent",Bets!$J$2:$J$506,"Soccer")</f>
        <v/>
      </c>
      <c r="D9">
        <f>COUNTIFS(Bets!$A$2:$A$506,"&lt;&gt;",Bets!$B$2:$B$506,"Trent",Bets!$J$2:$J$506,"Soccer",Bets!$U$2:$U$506,"W")</f>
        <v/>
      </c>
      <c r="E9">
        <f>COUNTIFS(Bets!$A$2:$A$506,"&lt;&gt;",Bets!$B$2:$B$506,"Trent",Bets!$J$2:$J$506,"Soccer",Bets!$U$2:$U$506,"L")</f>
        <v/>
      </c>
      <c r="F9">
        <f>COUNTIFS(Bets!$A$2:$A$506,"&lt;&gt;",Bets!$B$2:$B$506,"Trent",Bets!$J$2:$J$506,"Soccer",Bets!$U$2:$U$506,"Push")</f>
        <v/>
      </c>
      <c r="G9">
        <f>COUNTIFS(Bets!$A$2:$A$506,"&lt;&gt;",Bets!$B$2:$B$506,"Trent",Bets!$J$2:$J$506,"Soccer",Bets!$U$2:$U$506,"Pending")</f>
        <v/>
      </c>
      <c r="H9">
        <f>COUNTIFS(Bets!$A$2:$A$506,"&lt;&gt;",Bets!$B$2:$B$506,"Trent",Bets!$J$2:$J$506,"Soccer",Bets!$U$2:$U$506,"Unknown")</f>
        <v/>
      </c>
      <c r="I9" s="9">
        <f>IF(D9+E9=0,"",D9/(D9+E9))</f>
        <v/>
      </c>
      <c r="J9" s="10">
        <f>SUMIFS(Bets!$Q$2:$Q$506,Bets!$A$2:$A$506,"&lt;&gt;",Bets!$B$2:$B$506,"Trent",Bets!$J$2:$J$506,"Soccer")</f>
        <v/>
      </c>
      <c r="K9" s="10">
        <f>SUMIFS(Bets!$AC$2:$AC$506,Bets!$A$2:$A$506,"&lt;&gt;",Bets!$B$2:$B$506,"Trent",Bets!$J$2:$J$506,"Soccer")</f>
        <v/>
      </c>
      <c r="L9" s="11">
        <f>SUMIFS(Bets!$V$2:$V$506,Bets!$A$2:$A$506,"&lt;&gt;",Bets!$B$2:$B$506,"Trent",Bets!$J$2:$J$506,"Soccer")</f>
        <v/>
      </c>
      <c r="M9" s="12">
        <f>IF(K9=0,"",L9/K9)</f>
        <v/>
      </c>
      <c r="N9" s="13">
        <f>SUMIFS(Bets!$AD$2:$AD$506,Bets!$A$2:$A$506,"&lt;&gt;",Bets!$B$2:$B$506,"Trent",Bets!$J$2:$J$506,"Soccer")</f>
        <v/>
      </c>
      <c r="O9" s="14">
        <f>SUMIFS(Bets!$W$2:$W$506,Bets!$A$2:$A$506,"&lt;&gt;",Bets!$B$2:$B$506,"Trent",Bets!$J$2:$J$506,"Soccer")</f>
        <v/>
      </c>
      <c r="P9" s="12">
        <f>IF(N9=0,"",O9/N9)</f>
        <v/>
      </c>
    </row>
    <row r="10">
      <c r="A10" t="inlineStr">
        <is>
          <t>Trent (@BookitWithTrent)</t>
        </is>
      </c>
      <c r="B10" t="inlineStr">
        <is>
          <t>Tennis</t>
        </is>
      </c>
      <c r="C10">
        <f>COUNTIFS(Bets!$A$2:$A$506,"&lt;&gt;",Bets!$B$2:$B$506,"Trent",Bets!$J$2:$J$506,"Tennis")</f>
        <v/>
      </c>
      <c r="D10">
        <f>COUNTIFS(Bets!$A$2:$A$506,"&lt;&gt;",Bets!$B$2:$B$506,"Trent",Bets!$J$2:$J$506,"Tennis",Bets!$U$2:$U$506,"W")</f>
        <v/>
      </c>
      <c r="E10">
        <f>COUNTIFS(Bets!$A$2:$A$506,"&lt;&gt;",Bets!$B$2:$B$506,"Trent",Bets!$J$2:$J$506,"Tennis",Bets!$U$2:$U$506,"L")</f>
        <v/>
      </c>
      <c r="F10">
        <f>COUNTIFS(Bets!$A$2:$A$506,"&lt;&gt;",Bets!$B$2:$B$506,"Trent",Bets!$J$2:$J$506,"Tennis",Bets!$U$2:$U$506,"Push")</f>
        <v/>
      </c>
      <c r="G10">
        <f>COUNTIFS(Bets!$A$2:$A$506,"&lt;&gt;",Bets!$B$2:$B$506,"Trent",Bets!$J$2:$J$506,"Tennis",Bets!$U$2:$U$506,"Pending")</f>
        <v/>
      </c>
      <c r="H10">
        <f>COUNTIFS(Bets!$A$2:$A$506,"&lt;&gt;",Bets!$B$2:$B$506,"Trent",Bets!$J$2:$J$506,"Tennis",Bets!$U$2:$U$506,"Unknown")</f>
        <v/>
      </c>
      <c r="I10" s="9">
        <f>IF(D10+E10=0,"",D10/(D10+E10))</f>
        <v/>
      </c>
      <c r="J10" s="10">
        <f>SUMIFS(Bets!$Q$2:$Q$506,Bets!$A$2:$A$506,"&lt;&gt;",Bets!$B$2:$B$506,"Trent",Bets!$J$2:$J$506,"Tennis")</f>
        <v/>
      </c>
      <c r="K10" s="10">
        <f>SUMIFS(Bets!$AC$2:$AC$506,Bets!$A$2:$A$506,"&lt;&gt;",Bets!$B$2:$B$506,"Trent",Bets!$J$2:$J$506,"Tennis")</f>
        <v/>
      </c>
      <c r="L10" s="11">
        <f>SUMIFS(Bets!$V$2:$V$506,Bets!$A$2:$A$506,"&lt;&gt;",Bets!$B$2:$B$506,"Trent",Bets!$J$2:$J$506,"Tennis")</f>
        <v/>
      </c>
      <c r="M10" s="12">
        <f>IF(K10=0,"",L10/K10)</f>
        <v/>
      </c>
      <c r="N10" s="13">
        <f>SUMIFS(Bets!$AD$2:$AD$506,Bets!$A$2:$A$506,"&lt;&gt;",Bets!$B$2:$B$506,"Trent",Bets!$J$2:$J$506,"Tennis")</f>
        <v/>
      </c>
      <c r="O10" s="14">
        <f>SUMIFS(Bets!$W$2:$W$506,Bets!$A$2:$A$506,"&lt;&gt;",Bets!$B$2:$B$506,"Trent",Bets!$J$2:$J$506,"Tennis")</f>
        <v/>
      </c>
      <c r="P10" s="12">
        <f>IF(N10=0,"",O10/N10)</f>
        <v/>
      </c>
    </row>
    <row r="11">
      <c r="A11" t="inlineStr">
        <is>
          <t>Trent (@BookitWithTrent)</t>
        </is>
      </c>
      <c r="B11" t="inlineStr">
        <is>
          <t>UFC/MMA</t>
        </is>
      </c>
      <c r="C11">
        <f>COUNTIFS(Bets!$A$2:$A$506,"&lt;&gt;",Bets!$B$2:$B$506,"Trent",Bets!$J$2:$J$506,"UFC/MMA")</f>
        <v/>
      </c>
      <c r="D11">
        <f>COUNTIFS(Bets!$A$2:$A$506,"&lt;&gt;",Bets!$B$2:$B$506,"Trent",Bets!$J$2:$J$506,"UFC/MMA",Bets!$U$2:$U$506,"W")</f>
        <v/>
      </c>
      <c r="E11">
        <f>COUNTIFS(Bets!$A$2:$A$506,"&lt;&gt;",Bets!$B$2:$B$506,"Trent",Bets!$J$2:$J$506,"UFC/MMA",Bets!$U$2:$U$506,"L")</f>
        <v/>
      </c>
      <c r="F11">
        <f>COUNTIFS(Bets!$A$2:$A$506,"&lt;&gt;",Bets!$B$2:$B$506,"Trent",Bets!$J$2:$J$506,"UFC/MMA",Bets!$U$2:$U$506,"Push")</f>
        <v/>
      </c>
      <c r="G11">
        <f>COUNTIFS(Bets!$A$2:$A$506,"&lt;&gt;",Bets!$B$2:$B$506,"Trent",Bets!$J$2:$J$506,"UFC/MMA",Bets!$U$2:$U$506,"Pending")</f>
        <v/>
      </c>
      <c r="H11">
        <f>COUNTIFS(Bets!$A$2:$A$506,"&lt;&gt;",Bets!$B$2:$B$506,"Trent",Bets!$J$2:$J$506,"UFC/MMA",Bets!$U$2:$U$506,"Unknown")</f>
        <v/>
      </c>
      <c r="I11" s="9">
        <f>IF(D11+E11=0,"",D11/(D11+E11))</f>
        <v/>
      </c>
      <c r="J11" s="10">
        <f>SUMIFS(Bets!$Q$2:$Q$506,Bets!$A$2:$A$506,"&lt;&gt;",Bets!$B$2:$B$506,"Trent",Bets!$J$2:$J$506,"UFC/MMA")</f>
        <v/>
      </c>
      <c r="K11" s="10">
        <f>SUMIFS(Bets!$AC$2:$AC$506,Bets!$A$2:$A$506,"&lt;&gt;",Bets!$B$2:$B$506,"Trent",Bets!$J$2:$J$506,"UFC/MMA")</f>
        <v/>
      </c>
      <c r="L11" s="11">
        <f>SUMIFS(Bets!$V$2:$V$506,Bets!$A$2:$A$506,"&lt;&gt;",Bets!$B$2:$B$506,"Trent",Bets!$J$2:$J$506,"UFC/MMA")</f>
        <v/>
      </c>
      <c r="M11" s="12">
        <f>IF(K11=0,"",L11/K11)</f>
        <v/>
      </c>
      <c r="N11" s="13">
        <f>SUMIFS(Bets!$AD$2:$AD$506,Bets!$A$2:$A$506,"&lt;&gt;",Bets!$B$2:$B$506,"Trent",Bets!$J$2:$J$506,"UFC/MMA")</f>
        <v/>
      </c>
      <c r="O11" s="14">
        <f>SUMIFS(Bets!$W$2:$W$506,Bets!$A$2:$A$506,"&lt;&gt;",Bets!$B$2:$B$506,"Trent",Bets!$J$2:$J$506,"UFC/MMA")</f>
        <v/>
      </c>
      <c r="P11" s="12">
        <f>IF(N11=0,"",O11/N11)</f>
        <v/>
      </c>
    </row>
    <row r="13">
      <c r="A13" s="7" t="inlineStr">
        <is>
          <t>Steve (@stevewilldoit)</t>
        </is>
      </c>
    </row>
    <row r="14">
      <c r="A14" s="8" t="inlineStr">
        <is>
          <t>Bettor</t>
        </is>
      </c>
      <c r="B14" s="8" t="inlineStr">
        <is>
          <t>Sport</t>
        </is>
      </c>
      <c r="C14" s="8" t="inlineStr">
        <is>
          <t>Bets</t>
        </is>
      </c>
      <c r="D14" s="8" t="inlineStr">
        <is>
          <t>W</t>
        </is>
      </c>
      <c r="E14" s="8" t="inlineStr">
        <is>
          <t>L</t>
        </is>
      </c>
      <c r="F14" s="8" t="inlineStr">
        <is>
          <t>Push</t>
        </is>
      </c>
      <c r="G14" s="8" t="inlineStr">
        <is>
          <t>Pending</t>
        </is>
      </c>
      <c r="H14" s="8" t="inlineStr">
        <is>
          <t>Unknown</t>
        </is>
      </c>
      <c r="I14" s="8" t="inlineStr">
        <is>
          <t>Win % (W/(W+L))</t>
        </is>
      </c>
      <c r="J14" s="8" t="inlineStr">
        <is>
          <t>Total staked $ (all $ bets)</t>
        </is>
      </c>
      <c r="K14" s="8" t="inlineStr">
        <is>
          <t>Settled staked $</t>
        </is>
      </c>
      <c r="L14" s="8" t="inlineStr">
        <is>
          <t>Net P/L $</t>
        </is>
      </c>
      <c r="M14" s="8" t="inlineStr">
        <is>
          <t>ROI (net / settled $)</t>
        </is>
      </c>
      <c r="N14" s="8" t="inlineStr">
        <is>
          <t>Units staked (settled)</t>
        </is>
      </c>
      <c r="O14" s="8" t="inlineStr">
        <is>
          <t>Net units</t>
        </is>
      </c>
      <c r="P14" s="8" t="inlineStr">
        <is>
          <t>ROI (units)</t>
        </is>
      </c>
    </row>
    <row r="15">
      <c r="A15" t="inlineStr">
        <is>
          <t>Steve (@stevewilldoit)</t>
        </is>
      </c>
      <c r="B15" t="inlineStr">
        <is>
          <t>CFB</t>
        </is>
      </c>
      <c r="C15">
        <f>COUNTIFS(Bets!$A$2:$A$506,"&lt;&gt;",Bets!$B$2:$B$506,"Steve",Bets!$J$2:$J$506,"CFB")</f>
        <v/>
      </c>
      <c r="D15">
        <f>COUNTIFS(Bets!$A$2:$A$506,"&lt;&gt;",Bets!$B$2:$B$506,"Steve",Bets!$J$2:$J$506,"CFB",Bets!$U$2:$U$506,"W")</f>
        <v/>
      </c>
      <c r="E15">
        <f>COUNTIFS(Bets!$A$2:$A$506,"&lt;&gt;",Bets!$B$2:$B$506,"Steve",Bets!$J$2:$J$506,"CFB",Bets!$U$2:$U$506,"L")</f>
        <v/>
      </c>
      <c r="F15">
        <f>COUNTIFS(Bets!$A$2:$A$506,"&lt;&gt;",Bets!$B$2:$B$506,"Steve",Bets!$J$2:$J$506,"CFB",Bets!$U$2:$U$506,"Push")</f>
        <v/>
      </c>
      <c r="G15">
        <f>COUNTIFS(Bets!$A$2:$A$506,"&lt;&gt;",Bets!$B$2:$B$506,"Steve",Bets!$J$2:$J$506,"CFB",Bets!$U$2:$U$506,"Pending")</f>
        <v/>
      </c>
      <c r="H15">
        <f>COUNTIFS(Bets!$A$2:$A$506,"&lt;&gt;",Bets!$B$2:$B$506,"Steve",Bets!$J$2:$J$506,"CFB",Bets!$U$2:$U$506,"Unknown")</f>
        <v/>
      </c>
      <c r="I15" s="9">
        <f>IF(D15+E15=0,"",D15/(D15+E15))</f>
        <v/>
      </c>
      <c r="J15" s="10">
        <f>SUMIFS(Bets!$Q$2:$Q$506,Bets!$A$2:$A$506,"&lt;&gt;",Bets!$B$2:$B$506,"Steve",Bets!$J$2:$J$506,"CFB")</f>
        <v/>
      </c>
      <c r="K15" s="10">
        <f>SUMIFS(Bets!$AC$2:$AC$506,Bets!$A$2:$A$506,"&lt;&gt;",Bets!$B$2:$B$506,"Steve",Bets!$J$2:$J$506,"CFB")</f>
        <v/>
      </c>
      <c r="L15" s="11">
        <f>SUMIFS(Bets!$V$2:$V$506,Bets!$A$2:$A$506,"&lt;&gt;",Bets!$B$2:$B$506,"Steve",Bets!$J$2:$J$506,"CFB")</f>
        <v/>
      </c>
      <c r="M15" s="12">
        <f>IF(K15=0,"",L15/K15)</f>
        <v/>
      </c>
      <c r="N15" s="13">
        <f>SUMIFS(Bets!$AD$2:$AD$506,Bets!$A$2:$A$506,"&lt;&gt;",Bets!$B$2:$B$506,"Steve",Bets!$J$2:$J$506,"CFB")</f>
        <v/>
      </c>
      <c r="O15" s="14">
        <f>SUMIFS(Bets!$W$2:$W$506,Bets!$A$2:$A$506,"&lt;&gt;",Bets!$B$2:$B$506,"Steve",Bets!$J$2:$J$506,"CFB")</f>
        <v/>
      </c>
      <c r="P15" s="12">
        <f>IF(N15=0,"",O15/N15)</f>
        <v/>
      </c>
    </row>
    <row r="16">
      <c r="A16" t="inlineStr">
        <is>
          <t>Steve (@stevewilldoit)</t>
        </is>
      </c>
      <c r="B16" t="inlineStr">
        <is>
          <t>MLB</t>
        </is>
      </c>
      <c r="C16">
        <f>COUNTIFS(Bets!$A$2:$A$506,"&lt;&gt;",Bets!$B$2:$B$506,"Steve",Bets!$J$2:$J$506,"MLB")</f>
        <v/>
      </c>
      <c r="D16">
        <f>COUNTIFS(Bets!$A$2:$A$506,"&lt;&gt;",Bets!$B$2:$B$506,"Steve",Bets!$J$2:$J$506,"MLB",Bets!$U$2:$U$506,"W")</f>
        <v/>
      </c>
      <c r="E16">
        <f>COUNTIFS(Bets!$A$2:$A$506,"&lt;&gt;",Bets!$B$2:$B$506,"Steve",Bets!$J$2:$J$506,"MLB",Bets!$U$2:$U$506,"L")</f>
        <v/>
      </c>
      <c r="F16">
        <f>COUNTIFS(Bets!$A$2:$A$506,"&lt;&gt;",Bets!$B$2:$B$506,"Steve",Bets!$J$2:$J$506,"MLB",Bets!$U$2:$U$506,"Push")</f>
        <v/>
      </c>
      <c r="G16">
        <f>COUNTIFS(Bets!$A$2:$A$506,"&lt;&gt;",Bets!$B$2:$B$506,"Steve",Bets!$J$2:$J$506,"MLB",Bets!$U$2:$U$506,"Pending")</f>
        <v/>
      </c>
      <c r="H16">
        <f>COUNTIFS(Bets!$A$2:$A$506,"&lt;&gt;",Bets!$B$2:$B$506,"Steve",Bets!$J$2:$J$506,"MLB",Bets!$U$2:$U$506,"Unknown")</f>
        <v/>
      </c>
      <c r="I16" s="9">
        <f>IF(D16+E16=0,"",D16/(D16+E16))</f>
        <v/>
      </c>
      <c r="J16" s="10">
        <f>SUMIFS(Bets!$Q$2:$Q$506,Bets!$A$2:$A$506,"&lt;&gt;",Bets!$B$2:$B$506,"Steve",Bets!$J$2:$J$506,"MLB")</f>
        <v/>
      </c>
      <c r="K16" s="10">
        <f>SUMIFS(Bets!$AC$2:$AC$506,Bets!$A$2:$A$506,"&lt;&gt;",Bets!$B$2:$B$506,"Steve",Bets!$J$2:$J$506,"MLB")</f>
        <v/>
      </c>
      <c r="L16" s="11">
        <f>SUMIFS(Bets!$V$2:$V$506,Bets!$A$2:$A$506,"&lt;&gt;",Bets!$B$2:$B$506,"Steve",Bets!$J$2:$J$506,"MLB")</f>
        <v/>
      </c>
      <c r="M16" s="12">
        <f>IF(K16=0,"",L16/K16)</f>
        <v/>
      </c>
      <c r="N16" s="13">
        <f>SUMIFS(Bets!$AD$2:$AD$506,Bets!$A$2:$A$506,"&lt;&gt;",Bets!$B$2:$B$506,"Steve",Bets!$J$2:$J$506,"MLB")</f>
        <v/>
      </c>
      <c r="O16" s="14">
        <f>SUMIFS(Bets!$W$2:$W$506,Bets!$A$2:$A$506,"&lt;&gt;",Bets!$B$2:$B$506,"Steve",Bets!$J$2:$J$506,"MLB")</f>
        <v/>
      </c>
      <c r="P16" s="12">
        <f>IF(N16=0,"",O16/N16)</f>
        <v/>
      </c>
    </row>
    <row r="17">
      <c r="A17" t="inlineStr">
        <is>
          <t>Steve (@stevewilldoit)</t>
        </is>
      </c>
      <c r="B17" t="inlineStr">
        <is>
          <t>NFL</t>
        </is>
      </c>
      <c r="C17">
        <f>COUNTIFS(Bets!$A$2:$A$506,"&lt;&gt;",Bets!$B$2:$B$506,"Steve",Bets!$J$2:$J$506,"NFL")</f>
        <v/>
      </c>
      <c r="D17">
        <f>COUNTIFS(Bets!$A$2:$A$506,"&lt;&gt;",Bets!$B$2:$B$506,"Steve",Bets!$J$2:$J$506,"NFL",Bets!$U$2:$U$506,"W")</f>
        <v/>
      </c>
      <c r="E17">
        <f>COUNTIFS(Bets!$A$2:$A$506,"&lt;&gt;",Bets!$B$2:$B$506,"Steve",Bets!$J$2:$J$506,"NFL",Bets!$U$2:$U$506,"L")</f>
        <v/>
      </c>
      <c r="F17">
        <f>COUNTIFS(Bets!$A$2:$A$506,"&lt;&gt;",Bets!$B$2:$B$506,"Steve",Bets!$J$2:$J$506,"NFL",Bets!$U$2:$U$506,"Push")</f>
        <v/>
      </c>
      <c r="G17">
        <f>COUNTIFS(Bets!$A$2:$A$506,"&lt;&gt;",Bets!$B$2:$B$506,"Steve",Bets!$J$2:$J$506,"NFL",Bets!$U$2:$U$506,"Pending")</f>
        <v/>
      </c>
      <c r="H17">
        <f>COUNTIFS(Bets!$A$2:$A$506,"&lt;&gt;",Bets!$B$2:$B$506,"Steve",Bets!$J$2:$J$506,"NFL",Bets!$U$2:$U$506,"Unknown")</f>
        <v/>
      </c>
      <c r="I17" s="9">
        <f>IF(D17+E17=0,"",D17/(D17+E17))</f>
        <v/>
      </c>
      <c r="J17" s="10">
        <f>SUMIFS(Bets!$Q$2:$Q$506,Bets!$A$2:$A$506,"&lt;&gt;",Bets!$B$2:$B$506,"Steve",Bets!$J$2:$J$506,"NFL")</f>
        <v/>
      </c>
      <c r="K17" s="10">
        <f>SUMIFS(Bets!$AC$2:$AC$506,Bets!$A$2:$A$506,"&lt;&gt;",Bets!$B$2:$B$506,"Steve",Bets!$J$2:$J$506,"NFL")</f>
        <v/>
      </c>
      <c r="L17" s="11">
        <f>SUMIFS(Bets!$V$2:$V$506,Bets!$A$2:$A$506,"&lt;&gt;",Bets!$B$2:$B$506,"Steve",Bets!$J$2:$J$506,"NFL")</f>
        <v/>
      </c>
      <c r="M17" s="12">
        <f>IF(K17=0,"",L17/K17)</f>
        <v/>
      </c>
      <c r="N17" s="13">
        <f>SUMIFS(Bets!$AD$2:$AD$506,Bets!$A$2:$A$506,"&lt;&gt;",Bets!$B$2:$B$506,"Steve",Bets!$J$2:$J$506,"NFL")</f>
        <v/>
      </c>
      <c r="O17" s="14">
        <f>SUMIFS(Bets!$W$2:$W$506,Bets!$A$2:$A$506,"&lt;&gt;",Bets!$B$2:$B$506,"Steve",Bets!$J$2:$J$506,"NFL")</f>
        <v/>
      </c>
      <c r="P17" s="12">
        <f>IF(N17=0,"",O17/N17)</f>
        <v/>
      </c>
    </row>
    <row r="18">
      <c r="A18" t="inlineStr">
        <is>
          <t>Steve (@stevewilldoit)</t>
        </is>
      </c>
      <c r="B18" t="inlineStr">
        <is>
          <t>Other</t>
        </is>
      </c>
      <c r="C18">
        <f>COUNTIFS(Bets!$A$2:$A$506,"&lt;&gt;",Bets!$B$2:$B$506,"Steve",Bets!$J$2:$J$506,"Other")</f>
        <v/>
      </c>
      <c r="D18">
        <f>COUNTIFS(Bets!$A$2:$A$506,"&lt;&gt;",Bets!$B$2:$B$506,"Steve",Bets!$J$2:$J$506,"Other",Bets!$U$2:$U$506,"W")</f>
        <v/>
      </c>
      <c r="E18">
        <f>COUNTIFS(Bets!$A$2:$A$506,"&lt;&gt;",Bets!$B$2:$B$506,"Steve",Bets!$J$2:$J$506,"Other",Bets!$U$2:$U$506,"L")</f>
        <v/>
      </c>
      <c r="F18">
        <f>COUNTIFS(Bets!$A$2:$A$506,"&lt;&gt;",Bets!$B$2:$B$506,"Steve",Bets!$J$2:$J$506,"Other",Bets!$U$2:$U$506,"Push")</f>
        <v/>
      </c>
      <c r="G18">
        <f>COUNTIFS(Bets!$A$2:$A$506,"&lt;&gt;",Bets!$B$2:$B$506,"Steve",Bets!$J$2:$J$506,"Other",Bets!$U$2:$U$506,"Pending")</f>
        <v/>
      </c>
      <c r="H18">
        <f>COUNTIFS(Bets!$A$2:$A$506,"&lt;&gt;",Bets!$B$2:$B$506,"Steve",Bets!$J$2:$J$506,"Other",Bets!$U$2:$U$506,"Unknown")</f>
        <v/>
      </c>
      <c r="I18" s="9">
        <f>IF(D18+E18=0,"",D18/(D18+E18))</f>
        <v/>
      </c>
      <c r="J18" s="10">
        <f>SUMIFS(Bets!$Q$2:$Q$506,Bets!$A$2:$A$506,"&lt;&gt;",Bets!$B$2:$B$506,"Steve",Bets!$J$2:$J$506,"Other")</f>
        <v/>
      </c>
      <c r="K18" s="10">
        <f>SUMIFS(Bets!$AC$2:$AC$506,Bets!$A$2:$A$506,"&lt;&gt;",Bets!$B$2:$B$506,"Steve",Bets!$J$2:$J$506,"Other")</f>
        <v/>
      </c>
      <c r="L18" s="11">
        <f>SUMIFS(Bets!$V$2:$V$506,Bets!$A$2:$A$506,"&lt;&gt;",Bets!$B$2:$B$506,"Steve",Bets!$J$2:$J$506,"Other")</f>
        <v/>
      </c>
      <c r="M18" s="12">
        <f>IF(K18=0,"",L18/K18)</f>
        <v/>
      </c>
      <c r="N18" s="13">
        <f>SUMIFS(Bets!$AD$2:$AD$506,Bets!$A$2:$A$506,"&lt;&gt;",Bets!$B$2:$B$506,"Steve",Bets!$J$2:$J$506,"Other")</f>
        <v/>
      </c>
      <c r="O18" s="14">
        <f>SUMIFS(Bets!$W$2:$W$506,Bets!$A$2:$A$506,"&lt;&gt;",Bets!$B$2:$B$506,"Steve",Bets!$J$2:$J$506,"Other")</f>
        <v/>
      </c>
      <c r="P18" s="12">
        <f>IF(N18=0,"",O18/N18)</f>
        <v/>
      </c>
    </row>
    <row r="19">
      <c r="A19" t="inlineStr">
        <is>
          <t>Steve (@stevewilldoit)</t>
        </is>
      </c>
      <c r="B19" t="inlineStr">
        <is>
          <t>Soccer</t>
        </is>
      </c>
      <c r="C19">
        <f>COUNTIFS(Bets!$A$2:$A$506,"&lt;&gt;",Bets!$B$2:$B$506,"Steve",Bets!$J$2:$J$506,"Soccer")</f>
        <v/>
      </c>
      <c r="D19">
        <f>COUNTIFS(Bets!$A$2:$A$506,"&lt;&gt;",Bets!$B$2:$B$506,"Steve",Bets!$J$2:$J$506,"Soccer",Bets!$U$2:$U$506,"W")</f>
        <v/>
      </c>
      <c r="E19">
        <f>COUNTIFS(Bets!$A$2:$A$506,"&lt;&gt;",Bets!$B$2:$B$506,"Steve",Bets!$J$2:$J$506,"Soccer",Bets!$U$2:$U$506,"L")</f>
        <v/>
      </c>
      <c r="F19">
        <f>COUNTIFS(Bets!$A$2:$A$506,"&lt;&gt;",Bets!$B$2:$B$506,"Steve",Bets!$J$2:$J$506,"Soccer",Bets!$U$2:$U$506,"Push")</f>
        <v/>
      </c>
      <c r="G19">
        <f>COUNTIFS(Bets!$A$2:$A$506,"&lt;&gt;",Bets!$B$2:$B$506,"Steve",Bets!$J$2:$J$506,"Soccer",Bets!$U$2:$U$506,"Pending")</f>
        <v/>
      </c>
      <c r="H19">
        <f>COUNTIFS(Bets!$A$2:$A$506,"&lt;&gt;",Bets!$B$2:$B$506,"Steve",Bets!$J$2:$J$506,"Soccer",Bets!$U$2:$U$506,"Unknown")</f>
        <v/>
      </c>
      <c r="I19" s="9">
        <f>IF(D19+E19=0,"",D19/(D19+E19))</f>
        <v/>
      </c>
      <c r="J19" s="10">
        <f>SUMIFS(Bets!$Q$2:$Q$506,Bets!$A$2:$A$506,"&lt;&gt;",Bets!$B$2:$B$506,"Steve",Bets!$J$2:$J$506,"Soccer")</f>
        <v/>
      </c>
      <c r="K19" s="10">
        <f>SUMIFS(Bets!$AC$2:$AC$506,Bets!$A$2:$A$506,"&lt;&gt;",Bets!$B$2:$B$506,"Steve",Bets!$J$2:$J$506,"Soccer")</f>
        <v/>
      </c>
      <c r="L19" s="11">
        <f>SUMIFS(Bets!$V$2:$V$506,Bets!$A$2:$A$506,"&lt;&gt;",Bets!$B$2:$B$506,"Steve",Bets!$J$2:$J$506,"Soccer")</f>
        <v/>
      </c>
      <c r="M19" s="12">
        <f>IF(K19=0,"",L19/K19)</f>
        <v/>
      </c>
      <c r="N19" s="13">
        <f>SUMIFS(Bets!$AD$2:$AD$506,Bets!$A$2:$A$506,"&lt;&gt;",Bets!$B$2:$B$506,"Steve",Bets!$J$2:$J$506,"Soccer")</f>
        <v/>
      </c>
      <c r="O19" s="14">
        <f>SUMIFS(Bets!$W$2:$W$506,Bets!$A$2:$A$506,"&lt;&gt;",Bets!$B$2:$B$506,"Steve",Bets!$J$2:$J$506,"Soccer")</f>
        <v/>
      </c>
      <c r="P19" s="12">
        <f>IF(N19=0,"",O19/N19)</f>
        <v/>
      </c>
    </row>
    <row r="20">
      <c r="A20" t="inlineStr">
        <is>
          <t>Steve (@stevewilldoit)</t>
        </is>
      </c>
      <c r="B20" t="inlineStr">
        <is>
          <t>Tennis</t>
        </is>
      </c>
      <c r="C20">
        <f>COUNTIFS(Bets!$A$2:$A$506,"&lt;&gt;",Bets!$B$2:$B$506,"Steve",Bets!$J$2:$J$506,"Tennis")</f>
        <v/>
      </c>
      <c r="D20">
        <f>COUNTIFS(Bets!$A$2:$A$506,"&lt;&gt;",Bets!$B$2:$B$506,"Steve",Bets!$J$2:$J$506,"Tennis",Bets!$U$2:$U$506,"W")</f>
        <v/>
      </c>
      <c r="E20">
        <f>COUNTIFS(Bets!$A$2:$A$506,"&lt;&gt;",Bets!$B$2:$B$506,"Steve",Bets!$J$2:$J$506,"Tennis",Bets!$U$2:$U$506,"L")</f>
        <v/>
      </c>
      <c r="F20">
        <f>COUNTIFS(Bets!$A$2:$A$506,"&lt;&gt;",Bets!$B$2:$B$506,"Steve",Bets!$J$2:$J$506,"Tennis",Bets!$U$2:$U$506,"Push")</f>
        <v/>
      </c>
      <c r="G20">
        <f>COUNTIFS(Bets!$A$2:$A$506,"&lt;&gt;",Bets!$B$2:$B$506,"Steve",Bets!$J$2:$J$506,"Tennis",Bets!$U$2:$U$506,"Pending")</f>
        <v/>
      </c>
      <c r="H20">
        <f>COUNTIFS(Bets!$A$2:$A$506,"&lt;&gt;",Bets!$B$2:$B$506,"Steve",Bets!$J$2:$J$506,"Tennis",Bets!$U$2:$U$506,"Unknown")</f>
        <v/>
      </c>
      <c r="I20" s="9">
        <f>IF(D20+E20=0,"",D20/(D20+E20))</f>
        <v/>
      </c>
      <c r="J20" s="10">
        <f>SUMIFS(Bets!$Q$2:$Q$506,Bets!$A$2:$A$506,"&lt;&gt;",Bets!$B$2:$B$506,"Steve",Bets!$J$2:$J$506,"Tennis")</f>
        <v/>
      </c>
      <c r="K20" s="10">
        <f>SUMIFS(Bets!$AC$2:$AC$506,Bets!$A$2:$A$506,"&lt;&gt;",Bets!$B$2:$B$506,"Steve",Bets!$J$2:$J$506,"Tennis")</f>
        <v/>
      </c>
      <c r="L20" s="11">
        <f>SUMIFS(Bets!$V$2:$V$506,Bets!$A$2:$A$506,"&lt;&gt;",Bets!$B$2:$B$506,"Steve",Bets!$J$2:$J$506,"Tennis")</f>
        <v/>
      </c>
      <c r="M20" s="12">
        <f>IF(K20=0,"",L20/K20)</f>
        <v/>
      </c>
      <c r="N20" s="13">
        <f>SUMIFS(Bets!$AD$2:$AD$506,Bets!$A$2:$A$506,"&lt;&gt;",Bets!$B$2:$B$506,"Steve",Bets!$J$2:$J$506,"Tennis")</f>
        <v/>
      </c>
      <c r="O20" s="14">
        <f>SUMIFS(Bets!$W$2:$W$506,Bets!$A$2:$A$506,"&lt;&gt;",Bets!$B$2:$B$506,"Steve",Bets!$J$2:$J$506,"Tennis")</f>
        <v/>
      </c>
      <c r="P20" s="12">
        <f>IF(N20=0,"",O20/N20)</f>
        <v/>
      </c>
    </row>
    <row r="21">
      <c r="A21" t="inlineStr">
        <is>
          <t>Steve (@stevewilldoit)</t>
        </is>
      </c>
      <c r="B21" t="inlineStr">
        <is>
          <t>UFC/MMA</t>
        </is>
      </c>
      <c r="C21">
        <f>COUNTIFS(Bets!$A$2:$A$506,"&lt;&gt;",Bets!$B$2:$B$506,"Steve",Bets!$J$2:$J$506,"UFC/MMA")</f>
        <v/>
      </c>
      <c r="D21">
        <f>COUNTIFS(Bets!$A$2:$A$506,"&lt;&gt;",Bets!$B$2:$B$506,"Steve",Bets!$J$2:$J$506,"UFC/MMA",Bets!$U$2:$U$506,"W")</f>
        <v/>
      </c>
      <c r="E21">
        <f>COUNTIFS(Bets!$A$2:$A$506,"&lt;&gt;",Bets!$B$2:$B$506,"Steve",Bets!$J$2:$J$506,"UFC/MMA",Bets!$U$2:$U$506,"L")</f>
        <v/>
      </c>
      <c r="F21">
        <f>COUNTIFS(Bets!$A$2:$A$506,"&lt;&gt;",Bets!$B$2:$B$506,"Steve",Bets!$J$2:$J$506,"UFC/MMA",Bets!$U$2:$U$506,"Push")</f>
        <v/>
      </c>
      <c r="G21">
        <f>COUNTIFS(Bets!$A$2:$A$506,"&lt;&gt;",Bets!$B$2:$B$506,"Steve",Bets!$J$2:$J$506,"UFC/MMA",Bets!$U$2:$U$506,"Pending")</f>
        <v/>
      </c>
      <c r="H21">
        <f>COUNTIFS(Bets!$A$2:$A$506,"&lt;&gt;",Bets!$B$2:$B$506,"Steve",Bets!$J$2:$J$506,"UFC/MMA",Bets!$U$2:$U$506,"Unknown")</f>
        <v/>
      </c>
      <c r="I21" s="9">
        <f>IF(D21+E21=0,"",D21/(D21+E21))</f>
        <v/>
      </c>
      <c r="J21" s="10">
        <f>SUMIFS(Bets!$Q$2:$Q$506,Bets!$A$2:$A$506,"&lt;&gt;",Bets!$B$2:$B$506,"Steve",Bets!$J$2:$J$506,"UFC/MMA")</f>
        <v/>
      </c>
      <c r="K21" s="10">
        <f>SUMIFS(Bets!$AC$2:$AC$506,Bets!$A$2:$A$506,"&lt;&gt;",Bets!$B$2:$B$506,"Steve",Bets!$J$2:$J$506,"UFC/MMA")</f>
        <v/>
      </c>
      <c r="L21" s="11">
        <f>SUMIFS(Bets!$V$2:$V$506,Bets!$A$2:$A$506,"&lt;&gt;",Bets!$B$2:$B$506,"Steve",Bets!$J$2:$J$506,"UFC/MMA")</f>
        <v/>
      </c>
      <c r="M21" s="12">
        <f>IF(K21=0,"",L21/K21)</f>
        <v/>
      </c>
      <c r="N21" s="13">
        <f>SUMIFS(Bets!$AD$2:$AD$506,Bets!$A$2:$A$506,"&lt;&gt;",Bets!$B$2:$B$506,"Steve",Bets!$J$2:$J$506,"UFC/MMA")</f>
        <v/>
      </c>
      <c r="O21" s="14">
        <f>SUMIFS(Bets!$W$2:$W$506,Bets!$A$2:$A$506,"&lt;&gt;",Bets!$B$2:$B$506,"Steve",Bets!$J$2:$J$506,"UFC/MMA")</f>
        <v/>
      </c>
      <c r="P21" s="12">
        <f>IF(N21=0,"",O21/N21)</f>
        <v/>
      </c>
    </row>
    <row r="23">
      <c r="A23" s="7" t="inlineStr">
        <is>
          <t>Combined</t>
        </is>
      </c>
    </row>
    <row r="24">
      <c r="A24" s="8" t="inlineStr">
        <is>
          <t>Bettor</t>
        </is>
      </c>
      <c r="B24" s="8" t="inlineStr">
        <is>
          <t>Sport</t>
        </is>
      </c>
      <c r="C24" s="8" t="inlineStr">
        <is>
          <t>Bets</t>
        </is>
      </c>
      <c r="D24" s="8" t="inlineStr">
        <is>
          <t>W</t>
        </is>
      </c>
      <c r="E24" s="8" t="inlineStr">
        <is>
          <t>L</t>
        </is>
      </c>
      <c r="F24" s="8" t="inlineStr">
        <is>
          <t>Push</t>
        </is>
      </c>
      <c r="G24" s="8" t="inlineStr">
        <is>
          <t>Pending</t>
        </is>
      </c>
      <c r="H24" s="8" t="inlineStr">
        <is>
          <t>Unknown</t>
        </is>
      </c>
      <c r="I24" s="8" t="inlineStr">
        <is>
          <t>Win % (W/(W+L))</t>
        </is>
      </c>
      <c r="J24" s="8" t="inlineStr">
        <is>
          <t>Total staked $ (all $ bets)</t>
        </is>
      </c>
      <c r="K24" s="8" t="inlineStr">
        <is>
          <t>Settled staked $</t>
        </is>
      </c>
      <c r="L24" s="8" t="inlineStr">
        <is>
          <t>Net P/L $</t>
        </is>
      </c>
      <c r="M24" s="8" t="inlineStr">
        <is>
          <t>ROI (net / settled $)</t>
        </is>
      </c>
      <c r="N24" s="8" t="inlineStr">
        <is>
          <t>Units staked (settled)</t>
        </is>
      </c>
      <c r="O24" s="8" t="inlineStr">
        <is>
          <t>Net units</t>
        </is>
      </c>
      <c r="P24" s="8" t="inlineStr">
        <is>
          <t>ROI (units)</t>
        </is>
      </c>
    </row>
    <row r="25">
      <c r="A25" t="inlineStr">
        <is>
          <t>Combined</t>
        </is>
      </c>
      <c r="B25" t="inlineStr">
        <is>
          <t>CFB</t>
        </is>
      </c>
      <c r="C25">
        <f>COUNTIFS(Bets!$A$2:$A$506,"&lt;&gt;",Bets!$B$2:$B$506,"*",Bets!$J$2:$J$506,"CFB")</f>
        <v/>
      </c>
      <c r="D25">
        <f>COUNTIFS(Bets!$A$2:$A$506,"&lt;&gt;",Bets!$B$2:$B$506,"*",Bets!$J$2:$J$506,"CFB",Bets!$U$2:$U$506,"W")</f>
        <v/>
      </c>
      <c r="E25">
        <f>COUNTIFS(Bets!$A$2:$A$506,"&lt;&gt;",Bets!$B$2:$B$506,"*",Bets!$J$2:$J$506,"CFB",Bets!$U$2:$U$506,"L")</f>
        <v/>
      </c>
      <c r="F25">
        <f>COUNTIFS(Bets!$A$2:$A$506,"&lt;&gt;",Bets!$B$2:$B$506,"*",Bets!$J$2:$J$506,"CFB",Bets!$U$2:$U$506,"Push")</f>
        <v/>
      </c>
      <c r="G25">
        <f>COUNTIFS(Bets!$A$2:$A$506,"&lt;&gt;",Bets!$B$2:$B$506,"*",Bets!$J$2:$J$506,"CFB",Bets!$U$2:$U$506,"Pending")</f>
        <v/>
      </c>
      <c r="H25">
        <f>COUNTIFS(Bets!$A$2:$A$506,"&lt;&gt;",Bets!$B$2:$B$506,"*",Bets!$J$2:$J$506,"CFB",Bets!$U$2:$U$506,"Unknown")</f>
        <v/>
      </c>
      <c r="I25" s="9">
        <f>IF(D25+E25=0,"",D25/(D25+E25))</f>
        <v/>
      </c>
      <c r="J25" s="10">
        <f>SUMIFS(Bets!$Q$2:$Q$506,Bets!$A$2:$A$506,"&lt;&gt;",Bets!$B$2:$B$506,"*",Bets!$J$2:$J$506,"CFB")</f>
        <v/>
      </c>
      <c r="K25" s="10">
        <f>SUMIFS(Bets!$AC$2:$AC$506,Bets!$A$2:$A$506,"&lt;&gt;",Bets!$B$2:$B$506,"*",Bets!$J$2:$J$506,"CFB")</f>
        <v/>
      </c>
      <c r="L25" s="11">
        <f>SUMIFS(Bets!$V$2:$V$506,Bets!$A$2:$A$506,"&lt;&gt;",Bets!$B$2:$B$506,"*",Bets!$J$2:$J$506,"CFB")</f>
        <v/>
      </c>
      <c r="M25" s="12">
        <f>IF(K25=0,"",L25/K25)</f>
        <v/>
      </c>
      <c r="N25" s="13">
        <f>SUMIFS(Bets!$AD$2:$AD$506,Bets!$A$2:$A$506,"&lt;&gt;",Bets!$B$2:$B$506,"*",Bets!$J$2:$J$506,"CFB")</f>
        <v/>
      </c>
      <c r="O25" s="14">
        <f>SUMIFS(Bets!$W$2:$W$506,Bets!$A$2:$A$506,"&lt;&gt;",Bets!$B$2:$B$506,"*",Bets!$J$2:$J$506,"CFB")</f>
        <v/>
      </c>
      <c r="P25" s="12">
        <f>IF(N25=0,"",O25/N25)</f>
        <v/>
      </c>
    </row>
    <row r="26">
      <c r="A26" t="inlineStr">
        <is>
          <t>Combined</t>
        </is>
      </c>
      <c r="B26" t="inlineStr">
        <is>
          <t>MLB</t>
        </is>
      </c>
      <c r="C26">
        <f>COUNTIFS(Bets!$A$2:$A$506,"&lt;&gt;",Bets!$B$2:$B$506,"*",Bets!$J$2:$J$506,"MLB")</f>
        <v/>
      </c>
      <c r="D26">
        <f>COUNTIFS(Bets!$A$2:$A$506,"&lt;&gt;",Bets!$B$2:$B$506,"*",Bets!$J$2:$J$506,"MLB",Bets!$U$2:$U$506,"W")</f>
        <v/>
      </c>
      <c r="E26">
        <f>COUNTIFS(Bets!$A$2:$A$506,"&lt;&gt;",Bets!$B$2:$B$506,"*",Bets!$J$2:$J$506,"MLB",Bets!$U$2:$U$506,"L")</f>
        <v/>
      </c>
      <c r="F26">
        <f>COUNTIFS(Bets!$A$2:$A$506,"&lt;&gt;",Bets!$B$2:$B$506,"*",Bets!$J$2:$J$506,"MLB",Bets!$U$2:$U$506,"Push")</f>
        <v/>
      </c>
      <c r="G26">
        <f>COUNTIFS(Bets!$A$2:$A$506,"&lt;&gt;",Bets!$B$2:$B$506,"*",Bets!$J$2:$J$506,"MLB",Bets!$U$2:$U$506,"Pending")</f>
        <v/>
      </c>
      <c r="H26">
        <f>COUNTIFS(Bets!$A$2:$A$506,"&lt;&gt;",Bets!$B$2:$B$506,"*",Bets!$J$2:$J$506,"MLB",Bets!$U$2:$U$506,"Unknown")</f>
        <v/>
      </c>
      <c r="I26" s="9">
        <f>IF(D26+E26=0,"",D26/(D26+E26))</f>
        <v/>
      </c>
      <c r="J26" s="10">
        <f>SUMIFS(Bets!$Q$2:$Q$506,Bets!$A$2:$A$506,"&lt;&gt;",Bets!$B$2:$B$506,"*",Bets!$J$2:$J$506,"MLB")</f>
        <v/>
      </c>
      <c r="K26" s="10">
        <f>SUMIFS(Bets!$AC$2:$AC$506,Bets!$A$2:$A$506,"&lt;&gt;",Bets!$B$2:$B$506,"*",Bets!$J$2:$J$506,"MLB")</f>
        <v/>
      </c>
      <c r="L26" s="11">
        <f>SUMIFS(Bets!$V$2:$V$506,Bets!$A$2:$A$506,"&lt;&gt;",Bets!$B$2:$B$506,"*",Bets!$J$2:$J$506,"MLB")</f>
        <v/>
      </c>
      <c r="M26" s="12">
        <f>IF(K26=0,"",L26/K26)</f>
        <v/>
      </c>
      <c r="N26" s="13">
        <f>SUMIFS(Bets!$AD$2:$AD$506,Bets!$A$2:$A$506,"&lt;&gt;",Bets!$B$2:$B$506,"*",Bets!$J$2:$J$506,"MLB")</f>
        <v/>
      </c>
      <c r="O26" s="14">
        <f>SUMIFS(Bets!$W$2:$W$506,Bets!$A$2:$A$506,"&lt;&gt;",Bets!$B$2:$B$506,"*",Bets!$J$2:$J$506,"MLB")</f>
        <v/>
      </c>
      <c r="P26" s="12">
        <f>IF(N26=0,"",O26/N26)</f>
        <v/>
      </c>
    </row>
    <row r="27">
      <c r="A27" t="inlineStr">
        <is>
          <t>Combined</t>
        </is>
      </c>
      <c r="B27" t="inlineStr">
        <is>
          <t>NFL</t>
        </is>
      </c>
      <c r="C27">
        <f>COUNTIFS(Bets!$A$2:$A$506,"&lt;&gt;",Bets!$B$2:$B$506,"*",Bets!$J$2:$J$506,"NFL")</f>
        <v/>
      </c>
      <c r="D27">
        <f>COUNTIFS(Bets!$A$2:$A$506,"&lt;&gt;",Bets!$B$2:$B$506,"*",Bets!$J$2:$J$506,"NFL",Bets!$U$2:$U$506,"W")</f>
        <v/>
      </c>
      <c r="E27">
        <f>COUNTIFS(Bets!$A$2:$A$506,"&lt;&gt;",Bets!$B$2:$B$506,"*",Bets!$J$2:$J$506,"NFL",Bets!$U$2:$U$506,"L")</f>
        <v/>
      </c>
      <c r="F27">
        <f>COUNTIFS(Bets!$A$2:$A$506,"&lt;&gt;",Bets!$B$2:$B$506,"*",Bets!$J$2:$J$506,"NFL",Bets!$U$2:$U$506,"Push")</f>
        <v/>
      </c>
      <c r="G27">
        <f>COUNTIFS(Bets!$A$2:$A$506,"&lt;&gt;",Bets!$B$2:$B$506,"*",Bets!$J$2:$J$506,"NFL",Bets!$U$2:$U$506,"Pending")</f>
        <v/>
      </c>
      <c r="H27">
        <f>COUNTIFS(Bets!$A$2:$A$506,"&lt;&gt;",Bets!$B$2:$B$506,"*",Bets!$J$2:$J$506,"NFL",Bets!$U$2:$U$506,"Unknown")</f>
        <v/>
      </c>
      <c r="I27" s="9">
        <f>IF(D27+E27=0,"",D27/(D27+E27))</f>
        <v/>
      </c>
      <c r="J27" s="10">
        <f>SUMIFS(Bets!$Q$2:$Q$506,Bets!$A$2:$A$506,"&lt;&gt;",Bets!$B$2:$B$506,"*",Bets!$J$2:$J$506,"NFL")</f>
        <v/>
      </c>
      <c r="K27" s="10">
        <f>SUMIFS(Bets!$AC$2:$AC$506,Bets!$A$2:$A$506,"&lt;&gt;",Bets!$B$2:$B$506,"*",Bets!$J$2:$J$506,"NFL")</f>
        <v/>
      </c>
      <c r="L27" s="11">
        <f>SUMIFS(Bets!$V$2:$V$506,Bets!$A$2:$A$506,"&lt;&gt;",Bets!$B$2:$B$506,"*",Bets!$J$2:$J$506,"NFL")</f>
        <v/>
      </c>
      <c r="M27" s="12">
        <f>IF(K27=0,"",L27/K27)</f>
        <v/>
      </c>
      <c r="N27" s="13">
        <f>SUMIFS(Bets!$AD$2:$AD$506,Bets!$A$2:$A$506,"&lt;&gt;",Bets!$B$2:$B$506,"*",Bets!$J$2:$J$506,"NFL")</f>
        <v/>
      </c>
      <c r="O27" s="14">
        <f>SUMIFS(Bets!$W$2:$W$506,Bets!$A$2:$A$506,"&lt;&gt;",Bets!$B$2:$B$506,"*",Bets!$J$2:$J$506,"NFL")</f>
        <v/>
      </c>
      <c r="P27" s="12">
        <f>IF(N27=0,"",O27/N27)</f>
        <v/>
      </c>
    </row>
    <row r="28">
      <c r="A28" t="inlineStr">
        <is>
          <t>Combined</t>
        </is>
      </c>
      <c r="B28" t="inlineStr">
        <is>
          <t>Other</t>
        </is>
      </c>
      <c r="C28">
        <f>COUNTIFS(Bets!$A$2:$A$506,"&lt;&gt;",Bets!$B$2:$B$506,"*",Bets!$J$2:$J$506,"Other")</f>
        <v/>
      </c>
      <c r="D28">
        <f>COUNTIFS(Bets!$A$2:$A$506,"&lt;&gt;",Bets!$B$2:$B$506,"*",Bets!$J$2:$J$506,"Other",Bets!$U$2:$U$506,"W")</f>
        <v/>
      </c>
      <c r="E28">
        <f>COUNTIFS(Bets!$A$2:$A$506,"&lt;&gt;",Bets!$B$2:$B$506,"*",Bets!$J$2:$J$506,"Other",Bets!$U$2:$U$506,"L")</f>
        <v/>
      </c>
      <c r="F28">
        <f>COUNTIFS(Bets!$A$2:$A$506,"&lt;&gt;",Bets!$B$2:$B$506,"*",Bets!$J$2:$J$506,"Other",Bets!$U$2:$U$506,"Push")</f>
        <v/>
      </c>
      <c r="G28">
        <f>COUNTIFS(Bets!$A$2:$A$506,"&lt;&gt;",Bets!$B$2:$B$506,"*",Bets!$J$2:$J$506,"Other",Bets!$U$2:$U$506,"Pending")</f>
        <v/>
      </c>
      <c r="H28">
        <f>COUNTIFS(Bets!$A$2:$A$506,"&lt;&gt;",Bets!$B$2:$B$506,"*",Bets!$J$2:$J$506,"Other",Bets!$U$2:$U$506,"Unknown")</f>
        <v/>
      </c>
      <c r="I28" s="9">
        <f>IF(D28+E28=0,"",D28/(D28+E28))</f>
        <v/>
      </c>
      <c r="J28" s="10">
        <f>SUMIFS(Bets!$Q$2:$Q$506,Bets!$A$2:$A$506,"&lt;&gt;",Bets!$B$2:$B$506,"*",Bets!$J$2:$J$506,"Other")</f>
        <v/>
      </c>
      <c r="K28" s="10">
        <f>SUMIFS(Bets!$AC$2:$AC$506,Bets!$A$2:$A$506,"&lt;&gt;",Bets!$B$2:$B$506,"*",Bets!$J$2:$J$506,"Other")</f>
        <v/>
      </c>
      <c r="L28" s="11">
        <f>SUMIFS(Bets!$V$2:$V$506,Bets!$A$2:$A$506,"&lt;&gt;",Bets!$B$2:$B$506,"*",Bets!$J$2:$J$506,"Other")</f>
        <v/>
      </c>
      <c r="M28" s="12">
        <f>IF(K28=0,"",L28/K28)</f>
        <v/>
      </c>
      <c r="N28" s="13">
        <f>SUMIFS(Bets!$AD$2:$AD$506,Bets!$A$2:$A$506,"&lt;&gt;",Bets!$B$2:$B$506,"*",Bets!$J$2:$J$506,"Other")</f>
        <v/>
      </c>
      <c r="O28" s="14">
        <f>SUMIFS(Bets!$W$2:$W$506,Bets!$A$2:$A$506,"&lt;&gt;",Bets!$B$2:$B$506,"*",Bets!$J$2:$J$506,"Other")</f>
        <v/>
      </c>
      <c r="P28" s="12">
        <f>IF(N28=0,"",O28/N28)</f>
        <v/>
      </c>
    </row>
    <row r="29">
      <c r="A29" t="inlineStr">
        <is>
          <t>Combined</t>
        </is>
      </c>
      <c r="B29" t="inlineStr">
        <is>
          <t>Soccer</t>
        </is>
      </c>
      <c r="C29">
        <f>COUNTIFS(Bets!$A$2:$A$506,"&lt;&gt;",Bets!$B$2:$B$506,"*",Bets!$J$2:$J$506,"Soccer")</f>
        <v/>
      </c>
      <c r="D29">
        <f>COUNTIFS(Bets!$A$2:$A$506,"&lt;&gt;",Bets!$B$2:$B$506,"*",Bets!$J$2:$J$506,"Soccer",Bets!$U$2:$U$506,"W")</f>
        <v/>
      </c>
      <c r="E29">
        <f>COUNTIFS(Bets!$A$2:$A$506,"&lt;&gt;",Bets!$B$2:$B$506,"*",Bets!$J$2:$J$506,"Soccer",Bets!$U$2:$U$506,"L")</f>
        <v/>
      </c>
      <c r="F29">
        <f>COUNTIFS(Bets!$A$2:$A$506,"&lt;&gt;",Bets!$B$2:$B$506,"*",Bets!$J$2:$J$506,"Soccer",Bets!$U$2:$U$506,"Push")</f>
        <v/>
      </c>
      <c r="G29">
        <f>COUNTIFS(Bets!$A$2:$A$506,"&lt;&gt;",Bets!$B$2:$B$506,"*",Bets!$J$2:$J$506,"Soccer",Bets!$U$2:$U$506,"Pending")</f>
        <v/>
      </c>
      <c r="H29">
        <f>COUNTIFS(Bets!$A$2:$A$506,"&lt;&gt;",Bets!$B$2:$B$506,"*",Bets!$J$2:$J$506,"Soccer",Bets!$U$2:$U$506,"Unknown")</f>
        <v/>
      </c>
      <c r="I29" s="9">
        <f>IF(D29+E29=0,"",D29/(D29+E29))</f>
        <v/>
      </c>
      <c r="J29" s="10">
        <f>SUMIFS(Bets!$Q$2:$Q$506,Bets!$A$2:$A$506,"&lt;&gt;",Bets!$B$2:$B$506,"*",Bets!$J$2:$J$506,"Soccer")</f>
        <v/>
      </c>
      <c r="K29" s="10">
        <f>SUMIFS(Bets!$AC$2:$AC$506,Bets!$A$2:$A$506,"&lt;&gt;",Bets!$B$2:$B$506,"*",Bets!$J$2:$J$506,"Soccer")</f>
        <v/>
      </c>
      <c r="L29" s="11">
        <f>SUMIFS(Bets!$V$2:$V$506,Bets!$A$2:$A$506,"&lt;&gt;",Bets!$B$2:$B$506,"*",Bets!$J$2:$J$506,"Soccer")</f>
        <v/>
      </c>
      <c r="M29" s="12">
        <f>IF(K29=0,"",L29/K29)</f>
        <v/>
      </c>
      <c r="N29" s="13">
        <f>SUMIFS(Bets!$AD$2:$AD$506,Bets!$A$2:$A$506,"&lt;&gt;",Bets!$B$2:$B$506,"*",Bets!$J$2:$J$506,"Soccer")</f>
        <v/>
      </c>
      <c r="O29" s="14">
        <f>SUMIFS(Bets!$W$2:$W$506,Bets!$A$2:$A$506,"&lt;&gt;",Bets!$B$2:$B$506,"*",Bets!$J$2:$J$506,"Soccer")</f>
        <v/>
      </c>
      <c r="P29" s="12">
        <f>IF(N29=0,"",O29/N29)</f>
        <v/>
      </c>
    </row>
    <row r="30">
      <c r="A30" t="inlineStr">
        <is>
          <t>Combined</t>
        </is>
      </c>
      <c r="B30" t="inlineStr">
        <is>
          <t>Tennis</t>
        </is>
      </c>
      <c r="C30">
        <f>COUNTIFS(Bets!$A$2:$A$506,"&lt;&gt;",Bets!$B$2:$B$506,"*",Bets!$J$2:$J$506,"Tennis")</f>
        <v/>
      </c>
      <c r="D30">
        <f>COUNTIFS(Bets!$A$2:$A$506,"&lt;&gt;",Bets!$B$2:$B$506,"*",Bets!$J$2:$J$506,"Tennis",Bets!$U$2:$U$506,"W")</f>
        <v/>
      </c>
      <c r="E30">
        <f>COUNTIFS(Bets!$A$2:$A$506,"&lt;&gt;",Bets!$B$2:$B$506,"*",Bets!$J$2:$J$506,"Tennis",Bets!$U$2:$U$506,"L")</f>
        <v/>
      </c>
      <c r="F30">
        <f>COUNTIFS(Bets!$A$2:$A$506,"&lt;&gt;",Bets!$B$2:$B$506,"*",Bets!$J$2:$J$506,"Tennis",Bets!$U$2:$U$506,"Push")</f>
        <v/>
      </c>
      <c r="G30">
        <f>COUNTIFS(Bets!$A$2:$A$506,"&lt;&gt;",Bets!$B$2:$B$506,"*",Bets!$J$2:$J$506,"Tennis",Bets!$U$2:$U$506,"Pending")</f>
        <v/>
      </c>
      <c r="H30">
        <f>COUNTIFS(Bets!$A$2:$A$506,"&lt;&gt;",Bets!$B$2:$B$506,"*",Bets!$J$2:$J$506,"Tennis",Bets!$U$2:$U$506,"Unknown")</f>
        <v/>
      </c>
      <c r="I30" s="9">
        <f>IF(D30+E30=0,"",D30/(D30+E30))</f>
        <v/>
      </c>
      <c r="J30" s="10">
        <f>SUMIFS(Bets!$Q$2:$Q$506,Bets!$A$2:$A$506,"&lt;&gt;",Bets!$B$2:$B$506,"*",Bets!$J$2:$J$506,"Tennis")</f>
        <v/>
      </c>
      <c r="K30" s="10">
        <f>SUMIFS(Bets!$AC$2:$AC$506,Bets!$A$2:$A$506,"&lt;&gt;",Bets!$B$2:$B$506,"*",Bets!$J$2:$J$506,"Tennis")</f>
        <v/>
      </c>
      <c r="L30" s="11">
        <f>SUMIFS(Bets!$V$2:$V$506,Bets!$A$2:$A$506,"&lt;&gt;",Bets!$B$2:$B$506,"*",Bets!$J$2:$J$506,"Tennis")</f>
        <v/>
      </c>
      <c r="M30" s="12">
        <f>IF(K30=0,"",L30/K30)</f>
        <v/>
      </c>
      <c r="N30" s="13">
        <f>SUMIFS(Bets!$AD$2:$AD$506,Bets!$A$2:$A$506,"&lt;&gt;",Bets!$B$2:$B$506,"*",Bets!$J$2:$J$506,"Tennis")</f>
        <v/>
      </c>
      <c r="O30" s="14">
        <f>SUMIFS(Bets!$W$2:$W$506,Bets!$A$2:$A$506,"&lt;&gt;",Bets!$B$2:$B$506,"*",Bets!$J$2:$J$506,"Tennis")</f>
        <v/>
      </c>
      <c r="P30" s="12">
        <f>IF(N30=0,"",O30/N30)</f>
        <v/>
      </c>
    </row>
    <row r="31">
      <c r="A31" t="inlineStr">
        <is>
          <t>Combined</t>
        </is>
      </c>
      <c r="B31" t="inlineStr">
        <is>
          <t>UFC/MMA</t>
        </is>
      </c>
      <c r="C31">
        <f>COUNTIFS(Bets!$A$2:$A$506,"&lt;&gt;",Bets!$B$2:$B$506,"*",Bets!$J$2:$J$506,"UFC/MMA")</f>
        <v/>
      </c>
      <c r="D31">
        <f>COUNTIFS(Bets!$A$2:$A$506,"&lt;&gt;",Bets!$B$2:$B$506,"*",Bets!$J$2:$J$506,"UFC/MMA",Bets!$U$2:$U$506,"W")</f>
        <v/>
      </c>
      <c r="E31">
        <f>COUNTIFS(Bets!$A$2:$A$506,"&lt;&gt;",Bets!$B$2:$B$506,"*",Bets!$J$2:$J$506,"UFC/MMA",Bets!$U$2:$U$506,"L")</f>
        <v/>
      </c>
      <c r="F31">
        <f>COUNTIFS(Bets!$A$2:$A$506,"&lt;&gt;",Bets!$B$2:$B$506,"*",Bets!$J$2:$J$506,"UFC/MMA",Bets!$U$2:$U$506,"Push")</f>
        <v/>
      </c>
      <c r="G31">
        <f>COUNTIFS(Bets!$A$2:$A$506,"&lt;&gt;",Bets!$B$2:$B$506,"*",Bets!$J$2:$J$506,"UFC/MMA",Bets!$U$2:$U$506,"Pending")</f>
        <v/>
      </c>
      <c r="H31">
        <f>COUNTIFS(Bets!$A$2:$A$506,"&lt;&gt;",Bets!$B$2:$B$506,"*",Bets!$J$2:$J$506,"UFC/MMA",Bets!$U$2:$U$506,"Unknown")</f>
        <v/>
      </c>
      <c r="I31" s="9">
        <f>IF(D31+E31=0,"",D31/(D31+E31))</f>
        <v/>
      </c>
      <c r="J31" s="10">
        <f>SUMIFS(Bets!$Q$2:$Q$506,Bets!$A$2:$A$506,"&lt;&gt;",Bets!$B$2:$B$506,"*",Bets!$J$2:$J$506,"UFC/MMA")</f>
        <v/>
      </c>
      <c r="K31" s="10">
        <f>SUMIFS(Bets!$AC$2:$AC$506,Bets!$A$2:$A$506,"&lt;&gt;",Bets!$B$2:$B$506,"*",Bets!$J$2:$J$506,"UFC/MMA")</f>
        <v/>
      </c>
      <c r="L31" s="11">
        <f>SUMIFS(Bets!$V$2:$V$506,Bets!$A$2:$A$506,"&lt;&gt;",Bets!$B$2:$B$506,"*",Bets!$J$2:$J$506,"UFC/MMA")</f>
        <v/>
      </c>
      <c r="M31" s="12">
        <f>IF(K31=0,"",L31/K31)</f>
        <v/>
      </c>
      <c r="N31" s="13">
        <f>SUMIFS(Bets!$AD$2:$AD$506,Bets!$A$2:$A$506,"&lt;&gt;",Bets!$B$2:$B$506,"*",Bets!$J$2:$J$506,"UFC/MMA")</f>
        <v/>
      </c>
      <c r="O31" s="14">
        <f>SUMIFS(Bets!$W$2:$W$506,Bets!$A$2:$A$506,"&lt;&gt;",Bets!$B$2:$B$506,"*",Bets!$J$2:$J$506,"UFC/MMA")</f>
        <v/>
      </c>
      <c r="P31" s="12">
        <f>IF(N31=0,"",O31/N31)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6" t="inlineStr">
        <is>
          <t>Prime time vs non-prime, and by prime-time slot (rule in Legend/Notes)</t>
        </is>
      </c>
    </row>
    <row r="3">
      <c r="A3" s="7" t="inlineStr">
        <is>
          <t>Prime vs non-prime</t>
        </is>
      </c>
    </row>
    <row r="4">
      <c r="A4" s="8" t="inlineStr">
        <is>
          <t>Bettor</t>
        </is>
      </c>
      <c r="B4" s="8" t="inlineStr">
        <is>
          <t>Prime time</t>
        </is>
      </c>
      <c r="C4" s="8" t="inlineStr">
        <is>
          <t>Bets</t>
        </is>
      </c>
      <c r="D4" s="8" t="inlineStr">
        <is>
          <t>W</t>
        </is>
      </c>
      <c r="E4" s="8" t="inlineStr">
        <is>
          <t>L</t>
        </is>
      </c>
      <c r="F4" s="8" t="inlineStr">
        <is>
          <t>Push</t>
        </is>
      </c>
      <c r="G4" s="8" t="inlineStr">
        <is>
          <t>Pending</t>
        </is>
      </c>
      <c r="H4" s="8" t="inlineStr">
        <is>
          <t>Unknown</t>
        </is>
      </c>
      <c r="I4" s="8" t="inlineStr">
        <is>
          <t>Win % (W/(W+L))</t>
        </is>
      </c>
      <c r="J4" s="8" t="inlineStr">
        <is>
          <t>Total staked $ (all $ bets)</t>
        </is>
      </c>
      <c r="K4" s="8" t="inlineStr">
        <is>
          <t>Settled staked $</t>
        </is>
      </c>
      <c r="L4" s="8" t="inlineStr">
        <is>
          <t>Net P/L $</t>
        </is>
      </c>
      <c r="M4" s="8" t="inlineStr">
        <is>
          <t>ROI (net / settled $)</t>
        </is>
      </c>
      <c r="N4" s="8" t="inlineStr">
        <is>
          <t>Units staked (settled)</t>
        </is>
      </c>
      <c r="O4" s="8" t="inlineStr">
        <is>
          <t>Net units</t>
        </is>
      </c>
      <c r="P4" s="8" t="inlineStr">
        <is>
          <t>ROI (units)</t>
        </is>
      </c>
    </row>
    <row r="5">
      <c r="A5" t="inlineStr">
        <is>
          <t>Trent (@BookitWithTrent)</t>
        </is>
      </c>
      <c r="B5" t="inlineStr">
        <is>
          <t>Y</t>
        </is>
      </c>
      <c r="C5">
        <f>COUNTIFS(Bets!$A$2:$A$506,"&lt;&gt;",Bets!$B$2:$B$506,"Trent",Bets!$H$2:$H$506,"Y")</f>
        <v/>
      </c>
      <c r="D5">
        <f>COUNTIFS(Bets!$A$2:$A$506,"&lt;&gt;",Bets!$B$2:$B$506,"Trent",Bets!$H$2:$H$506,"Y",Bets!$U$2:$U$506,"W")</f>
        <v/>
      </c>
      <c r="E5">
        <f>COUNTIFS(Bets!$A$2:$A$506,"&lt;&gt;",Bets!$B$2:$B$506,"Trent",Bets!$H$2:$H$506,"Y",Bets!$U$2:$U$506,"L")</f>
        <v/>
      </c>
      <c r="F5">
        <f>COUNTIFS(Bets!$A$2:$A$506,"&lt;&gt;",Bets!$B$2:$B$506,"Trent",Bets!$H$2:$H$506,"Y",Bets!$U$2:$U$506,"Push")</f>
        <v/>
      </c>
      <c r="G5">
        <f>COUNTIFS(Bets!$A$2:$A$506,"&lt;&gt;",Bets!$B$2:$B$506,"Trent",Bets!$H$2:$H$506,"Y",Bets!$U$2:$U$506,"Pending")</f>
        <v/>
      </c>
      <c r="H5">
        <f>COUNTIFS(Bets!$A$2:$A$506,"&lt;&gt;",Bets!$B$2:$B$506,"Trent",Bets!$H$2:$H$506,"Y",Bets!$U$2:$U$506,"Unknown")</f>
        <v/>
      </c>
      <c r="I5" s="9">
        <f>IF(D5+E5=0,"",D5/(D5+E5))</f>
        <v/>
      </c>
      <c r="J5" s="10">
        <f>SUMIFS(Bets!$Q$2:$Q$506,Bets!$A$2:$A$506,"&lt;&gt;",Bets!$B$2:$B$506,"Trent",Bets!$H$2:$H$506,"Y")</f>
        <v/>
      </c>
      <c r="K5" s="10">
        <f>SUMIFS(Bets!$AC$2:$AC$506,Bets!$A$2:$A$506,"&lt;&gt;",Bets!$B$2:$B$506,"Trent",Bets!$H$2:$H$506,"Y")</f>
        <v/>
      </c>
      <c r="L5" s="11">
        <f>SUMIFS(Bets!$V$2:$V$506,Bets!$A$2:$A$506,"&lt;&gt;",Bets!$B$2:$B$506,"Trent",Bets!$H$2:$H$506,"Y")</f>
        <v/>
      </c>
      <c r="M5" s="12">
        <f>IF(K5=0,"",L5/K5)</f>
        <v/>
      </c>
      <c r="N5" s="13">
        <f>SUMIFS(Bets!$AD$2:$AD$506,Bets!$A$2:$A$506,"&lt;&gt;",Bets!$B$2:$B$506,"Trent",Bets!$H$2:$H$506,"Y")</f>
        <v/>
      </c>
      <c r="O5" s="14">
        <f>SUMIFS(Bets!$W$2:$W$506,Bets!$A$2:$A$506,"&lt;&gt;",Bets!$B$2:$B$506,"Trent",Bets!$H$2:$H$506,"Y")</f>
        <v/>
      </c>
      <c r="P5" s="12">
        <f>IF(N5=0,"",O5/N5)</f>
        <v/>
      </c>
    </row>
    <row r="6">
      <c r="A6" t="inlineStr">
        <is>
          <t>Trent (@BookitWithTrent)</t>
        </is>
      </c>
      <c r="B6" t="inlineStr">
        <is>
          <t>N</t>
        </is>
      </c>
      <c r="C6">
        <f>COUNTIFS(Bets!$A$2:$A$506,"&lt;&gt;",Bets!$B$2:$B$506,"Trent",Bets!$H$2:$H$506,"N")</f>
        <v/>
      </c>
      <c r="D6">
        <f>COUNTIFS(Bets!$A$2:$A$506,"&lt;&gt;",Bets!$B$2:$B$506,"Trent",Bets!$H$2:$H$506,"N",Bets!$U$2:$U$506,"W")</f>
        <v/>
      </c>
      <c r="E6">
        <f>COUNTIFS(Bets!$A$2:$A$506,"&lt;&gt;",Bets!$B$2:$B$506,"Trent",Bets!$H$2:$H$506,"N",Bets!$U$2:$U$506,"L")</f>
        <v/>
      </c>
      <c r="F6">
        <f>COUNTIFS(Bets!$A$2:$A$506,"&lt;&gt;",Bets!$B$2:$B$506,"Trent",Bets!$H$2:$H$506,"N",Bets!$U$2:$U$506,"Push")</f>
        <v/>
      </c>
      <c r="G6">
        <f>COUNTIFS(Bets!$A$2:$A$506,"&lt;&gt;",Bets!$B$2:$B$506,"Trent",Bets!$H$2:$H$506,"N",Bets!$U$2:$U$506,"Pending")</f>
        <v/>
      </c>
      <c r="H6">
        <f>COUNTIFS(Bets!$A$2:$A$506,"&lt;&gt;",Bets!$B$2:$B$506,"Trent",Bets!$H$2:$H$506,"N",Bets!$U$2:$U$506,"Unknown")</f>
        <v/>
      </c>
      <c r="I6" s="9">
        <f>IF(D6+E6=0,"",D6/(D6+E6))</f>
        <v/>
      </c>
      <c r="J6" s="10">
        <f>SUMIFS(Bets!$Q$2:$Q$506,Bets!$A$2:$A$506,"&lt;&gt;",Bets!$B$2:$B$506,"Trent",Bets!$H$2:$H$506,"N")</f>
        <v/>
      </c>
      <c r="K6" s="10">
        <f>SUMIFS(Bets!$AC$2:$AC$506,Bets!$A$2:$A$506,"&lt;&gt;",Bets!$B$2:$B$506,"Trent",Bets!$H$2:$H$506,"N")</f>
        <v/>
      </c>
      <c r="L6" s="11">
        <f>SUMIFS(Bets!$V$2:$V$506,Bets!$A$2:$A$506,"&lt;&gt;",Bets!$B$2:$B$506,"Trent",Bets!$H$2:$H$506,"N")</f>
        <v/>
      </c>
      <c r="M6" s="12">
        <f>IF(K6=0,"",L6/K6)</f>
        <v/>
      </c>
      <c r="N6" s="13">
        <f>SUMIFS(Bets!$AD$2:$AD$506,Bets!$A$2:$A$506,"&lt;&gt;",Bets!$B$2:$B$506,"Trent",Bets!$H$2:$H$506,"N")</f>
        <v/>
      </c>
      <c r="O6" s="14">
        <f>SUMIFS(Bets!$W$2:$W$506,Bets!$A$2:$A$506,"&lt;&gt;",Bets!$B$2:$B$506,"Trent",Bets!$H$2:$H$506,"N")</f>
        <v/>
      </c>
      <c r="P6" s="12">
        <f>IF(N6=0,"",O6/N6)</f>
        <v/>
      </c>
    </row>
    <row r="7">
      <c r="A7" t="inlineStr">
        <is>
          <t>Trent (@BookitWithTrent)</t>
        </is>
      </c>
      <c r="B7" t="inlineStr">
        <is>
          <t>Unknown</t>
        </is>
      </c>
      <c r="C7">
        <f>COUNTIFS(Bets!$A$2:$A$506,"&lt;&gt;",Bets!$B$2:$B$506,"Trent",Bets!$H$2:$H$506,"Unknown")</f>
        <v/>
      </c>
      <c r="D7">
        <f>COUNTIFS(Bets!$A$2:$A$506,"&lt;&gt;",Bets!$B$2:$B$506,"Trent",Bets!$H$2:$H$506,"Unknown",Bets!$U$2:$U$506,"W")</f>
        <v/>
      </c>
      <c r="E7">
        <f>COUNTIFS(Bets!$A$2:$A$506,"&lt;&gt;",Bets!$B$2:$B$506,"Trent",Bets!$H$2:$H$506,"Unknown",Bets!$U$2:$U$506,"L")</f>
        <v/>
      </c>
      <c r="F7">
        <f>COUNTIFS(Bets!$A$2:$A$506,"&lt;&gt;",Bets!$B$2:$B$506,"Trent",Bets!$H$2:$H$506,"Unknown",Bets!$U$2:$U$506,"Push")</f>
        <v/>
      </c>
      <c r="G7">
        <f>COUNTIFS(Bets!$A$2:$A$506,"&lt;&gt;",Bets!$B$2:$B$506,"Trent",Bets!$H$2:$H$506,"Unknown",Bets!$U$2:$U$506,"Pending")</f>
        <v/>
      </c>
      <c r="H7">
        <f>COUNTIFS(Bets!$A$2:$A$506,"&lt;&gt;",Bets!$B$2:$B$506,"Trent",Bets!$H$2:$H$506,"Unknown",Bets!$U$2:$U$506,"Unknown")</f>
        <v/>
      </c>
      <c r="I7" s="9">
        <f>IF(D7+E7=0,"",D7/(D7+E7))</f>
        <v/>
      </c>
      <c r="J7" s="10">
        <f>SUMIFS(Bets!$Q$2:$Q$506,Bets!$A$2:$A$506,"&lt;&gt;",Bets!$B$2:$B$506,"Trent",Bets!$H$2:$H$506,"Unknown")</f>
        <v/>
      </c>
      <c r="K7" s="10">
        <f>SUMIFS(Bets!$AC$2:$AC$506,Bets!$A$2:$A$506,"&lt;&gt;",Bets!$B$2:$B$506,"Trent",Bets!$H$2:$H$506,"Unknown")</f>
        <v/>
      </c>
      <c r="L7" s="11">
        <f>SUMIFS(Bets!$V$2:$V$506,Bets!$A$2:$A$506,"&lt;&gt;",Bets!$B$2:$B$506,"Trent",Bets!$H$2:$H$506,"Unknown")</f>
        <v/>
      </c>
      <c r="M7" s="12">
        <f>IF(K7=0,"",L7/K7)</f>
        <v/>
      </c>
      <c r="N7" s="13">
        <f>SUMIFS(Bets!$AD$2:$AD$506,Bets!$A$2:$A$506,"&lt;&gt;",Bets!$B$2:$B$506,"Trent",Bets!$H$2:$H$506,"Unknown")</f>
        <v/>
      </c>
      <c r="O7" s="14">
        <f>SUMIFS(Bets!$W$2:$W$506,Bets!$A$2:$A$506,"&lt;&gt;",Bets!$B$2:$B$506,"Trent",Bets!$H$2:$H$506,"Unknown")</f>
        <v/>
      </c>
      <c r="P7" s="12">
        <f>IF(N7=0,"",O7/N7)</f>
        <v/>
      </c>
    </row>
    <row r="8">
      <c r="A8" t="inlineStr">
        <is>
          <t>Steve (@stevewilldoit)</t>
        </is>
      </c>
      <c r="B8" t="inlineStr">
        <is>
          <t>Y</t>
        </is>
      </c>
      <c r="C8">
        <f>COUNTIFS(Bets!$A$2:$A$506,"&lt;&gt;",Bets!$B$2:$B$506,"Steve",Bets!$H$2:$H$506,"Y")</f>
        <v/>
      </c>
      <c r="D8">
        <f>COUNTIFS(Bets!$A$2:$A$506,"&lt;&gt;",Bets!$B$2:$B$506,"Steve",Bets!$H$2:$H$506,"Y",Bets!$U$2:$U$506,"W")</f>
        <v/>
      </c>
      <c r="E8">
        <f>COUNTIFS(Bets!$A$2:$A$506,"&lt;&gt;",Bets!$B$2:$B$506,"Steve",Bets!$H$2:$H$506,"Y",Bets!$U$2:$U$506,"L")</f>
        <v/>
      </c>
      <c r="F8">
        <f>COUNTIFS(Bets!$A$2:$A$506,"&lt;&gt;",Bets!$B$2:$B$506,"Steve",Bets!$H$2:$H$506,"Y",Bets!$U$2:$U$506,"Push")</f>
        <v/>
      </c>
      <c r="G8">
        <f>COUNTIFS(Bets!$A$2:$A$506,"&lt;&gt;",Bets!$B$2:$B$506,"Steve",Bets!$H$2:$H$506,"Y",Bets!$U$2:$U$506,"Pending")</f>
        <v/>
      </c>
      <c r="H8">
        <f>COUNTIFS(Bets!$A$2:$A$506,"&lt;&gt;",Bets!$B$2:$B$506,"Steve",Bets!$H$2:$H$506,"Y",Bets!$U$2:$U$506,"Unknown")</f>
        <v/>
      </c>
      <c r="I8" s="9">
        <f>IF(D8+E8=0,"",D8/(D8+E8))</f>
        <v/>
      </c>
      <c r="J8" s="10">
        <f>SUMIFS(Bets!$Q$2:$Q$506,Bets!$A$2:$A$506,"&lt;&gt;",Bets!$B$2:$B$506,"Steve",Bets!$H$2:$H$506,"Y")</f>
        <v/>
      </c>
      <c r="K8" s="10">
        <f>SUMIFS(Bets!$AC$2:$AC$506,Bets!$A$2:$A$506,"&lt;&gt;",Bets!$B$2:$B$506,"Steve",Bets!$H$2:$H$506,"Y")</f>
        <v/>
      </c>
      <c r="L8" s="11">
        <f>SUMIFS(Bets!$V$2:$V$506,Bets!$A$2:$A$506,"&lt;&gt;",Bets!$B$2:$B$506,"Steve",Bets!$H$2:$H$506,"Y")</f>
        <v/>
      </c>
      <c r="M8" s="12">
        <f>IF(K8=0,"",L8/K8)</f>
        <v/>
      </c>
      <c r="N8" s="13">
        <f>SUMIFS(Bets!$AD$2:$AD$506,Bets!$A$2:$A$506,"&lt;&gt;",Bets!$B$2:$B$506,"Steve",Bets!$H$2:$H$506,"Y")</f>
        <v/>
      </c>
      <c r="O8" s="14">
        <f>SUMIFS(Bets!$W$2:$W$506,Bets!$A$2:$A$506,"&lt;&gt;",Bets!$B$2:$B$506,"Steve",Bets!$H$2:$H$506,"Y")</f>
        <v/>
      </c>
      <c r="P8" s="12">
        <f>IF(N8=0,"",O8/N8)</f>
        <v/>
      </c>
    </row>
    <row r="9">
      <c r="A9" t="inlineStr">
        <is>
          <t>Steve (@stevewilldoit)</t>
        </is>
      </c>
      <c r="B9" t="inlineStr">
        <is>
          <t>N</t>
        </is>
      </c>
      <c r="C9">
        <f>COUNTIFS(Bets!$A$2:$A$506,"&lt;&gt;",Bets!$B$2:$B$506,"Steve",Bets!$H$2:$H$506,"N")</f>
        <v/>
      </c>
      <c r="D9">
        <f>COUNTIFS(Bets!$A$2:$A$506,"&lt;&gt;",Bets!$B$2:$B$506,"Steve",Bets!$H$2:$H$506,"N",Bets!$U$2:$U$506,"W")</f>
        <v/>
      </c>
      <c r="E9">
        <f>COUNTIFS(Bets!$A$2:$A$506,"&lt;&gt;",Bets!$B$2:$B$506,"Steve",Bets!$H$2:$H$506,"N",Bets!$U$2:$U$506,"L")</f>
        <v/>
      </c>
      <c r="F9">
        <f>COUNTIFS(Bets!$A$2:$A$506,"&lt;&gt;",Bets!$B$2:$B$506,"Steve",Bets!$H$2:$H$506,"N",Bets!$U$2:$U$506,"Push")</f>
        <v/>
      </c>
      <c r="G9">
        <f>COUNTIFS(Bets!$A$2:$A$506,"&lt;&gt;",Bets!$B$2:$B$506,"Steve",Bets!$H$2:$H$506,"N",Bets!$U$2:$U$506,"Pending")</f>
        <v/>
      </c>
      <c r="H9">
        <f>COUNTIFS(Bets!$A$2:$A$506,"&lt;&gt;",Bets!$B$2:$B$506,"Steve",Bets!$H$2:$H$506,"N",Bets!$U$2:$U$506,"Unknown")</f>
        <v/>
      </c>
      <c r="I9" s="9">
        <f>IF(D9+E9=0,"",D9/(D9+E9))</f>
        <v/>
      </c>
      <c r="J9" s="10">
        <f>SUMIFS(Bets!$Q$2:$Q$506,Bets!$A$2:$A$506,"&lt;&gt;",Bets!$B$2:$B$506,"Steve",Bets!$H$2:$H$506,"N")</f>
        <v/>
      </c>
      <c r="K9" s="10">
        <f>SUMIFS(Bets!$AC$2:$AC$506,Bets!$A$2:$A$506,"&lt;&gt;",Bets!$B$2:$B$506,"Steve",Bets!$H$2:$H$506,"N")</f>
        <v/>
      </c>
      <c r="L9" s="11">
        <f>SUMIFS(Bets!$V$2:$V$506,Bets!$A$2:$A$506,"&lt;&gt;",Bets!$B$2:$B$506,"Steve",Bets!$H$2:$H$506,"N")</f>
        <v/>
      </c>
      <c r="M9" s="12">
        <f>IF(K9=0,"",L9/K9)</f>
        <v/>
      </c>
      <c r="N9" s="13">
        <f>SUMIFS(Bets!$AD$2:$AD$506,Bets!$A$2:$A$506,"&lt;&gt;",Bets!$B$2:$B$506,"Steve",Bets!$H$2:$H$506,"N")</f>
        <v/>
      </c>
      <c r="O9" s="14">
        <f>SUMIFS(Bets!$W$2:$W$506,Bets!$A$2:$A$506,"&lt;&gt;",Bets!$B$2:$B$506,"Steve",Bets!$H$2:$H$506,"N")</f>
        <v/>
      </c>
      <c r="P9" s="12">
        <f>IF(N9=0,"",O9/N9)</f>
        <v/>
      </c>
    </row>
    <row r="10">
      <c r="A10" t="inlineStr">
        <is>
          <t>Steve (@stevewilldoit)</t>
        </is>
      </c>
      <c r="B10" t="inlineStr">
        <is>
          <t>Unknown</t>
        </is>
      </c>
      <c r="C10">
        <f>COUNTIFS(Bets!$A$2:$A$506,"&lt;&gt;",Bets!$B$2:$B$506,"Steve",Bets!$H$2:$H$506,"Unknown")</f>
        <v/>
      </c>
      <c r="D10">
        <f>COUNTIFS(Bets!$A$2:$A$506,"&lt;&gt;",Bets!$B$2:$B$506,"Steve",Bets!$H$2:$H$506,"Unknown",Bets!$U$2:$U$506,"W")</f>
        <v/>
      </c>
      <c r="E10">
        <f>COUNTIFS(Bets!$A$2:$A$506,"&lt;&gt;",Bets!$B$2:$B$506,"Steve",Bets!$H$2:$H$506,"Unknown",Bets!$U$2:$U$506,"L")</f>
        <v/>
      </c>
      <c r="F10">
        <f>COUNTIFS(Bets!$A$2:$A$506,"&lt;&gt;",Bets!$B$2:$B$506,"Steve",Bets!$H$2:$H$506,"Unknown",Bets!$U$2:$U$506,"Push")</f>
        <v/>
      </c>
      <c r="G10">
        <f>COUNTIFS(Bets!$A$2:$A$506,"&lt;&gt;",Bets!$B$2:$B$506,"Steve",Bets!$H$2:$H$506,"Unknown",Bets!$U$2:$U$506,"Pending")</f>
        <v/>
      </c>
      <c r="H10">
        <f>COUNTIFS(Bets!$A$2:$A$506,"&lt;&gt;",Bets!$B$2:$B$506,"Steve",Bets!$H$2:$H$506,"Unknown",Bets!$U$2:$U$506,"Unknown")</f>
        <v/>
      </c>
      <c r="I10" s="9">
        <f>IF(D10+E10=0,"",D10/(D10+E10))</f>
        <v/>
      </c>
      <c r="J10" s="10">
        <f>SUMIFS(Bets!$Q$2:$Q$506,Bets!$A$2:$A$506,"&lt;&gt;",Bets!$B$2:$B$506,"Steve",Bets!$H$2:$H$506,"Unknown")</f>
        <v/>
      </c>
      <c r="K10" s="10">
        <f>SUMIFS(Bets!$AC$2:$AC$506,Bets!$A$2:$A$506,"&lt;&gt;",Bets!$B$2:$B$506,"Steve",Bets!$H$2:$H$506,"Unknown")</f>
        <v/>
      </c>
      <c r="L10" s="11">
        <f>SUMIFS(Bets!$V$2:$V$506,Bets!$A$2:$A$506,"&lt;&gt;",Bets!$B$2:$B$506,"Steve",Bets!$H$2:$H$506,"Unknown")</f>
        <v/>
      </c>
      <c r="M10" s="12">
        <f>IF(K10=0,"",L10/K10)</f>
        <v/>
      </c>
      <c r="N10" s="13">
        <f>SUMIFS(Bets!$AD$2:$AD$506,Bets!$A$2:$A$506,"&lt;&gt;",Bets!$B$2:$B$506,"Steve",Bets!$H$2:$H$506,"Unknown")</f>
        <v/>
      </c>
      <c r="O10" s="14">
        <f>SUMIFS(Bets!$W$2:$W$506,Bets!$A$2:$A$506,"&lt;&gt;",Bets!$B$2:$B$506,"Steve",Bets!$H$2:$H$506,"Unknown")</f>
        <v/>
      </c>
      <c r="P10" s="12">
        <f>IF(N10=0,"",O10/N10)</f>
        <v/>
      </c>
    </row>
    <row r="11">
      <c r="A11" t="inlineStr">
        <is>
          <t>Combined</t>
        </is>
      </c>
      <c r="B11" t="inlineStr">
        <is>
          <t>Y</t>
        </is>
      </c>
      <c r="C11">
        <f>COUNTIFS(Bets!$A$2:$A$506,"&lt;&gt;",Bets!$B$2:$B$506,"*",Bets!$H$2:$H$506,"Y")</f>
        <v/>
      </c>
      <c r="D11">
        <f>COUNTIFS(Bets!$A$2:$A$506,"&lt;&gt;",Bets!$B$2:$B$506,"*",Bets!$H$2:$H$506,"Y",Bets!$U$2:$U$506,"W")</f>
        <v/>
      </c>
      <c r="E11">
        <f>COUNTIFS(Bets!$A$2:$A$506,"&lt;&gt;",Bets!$B$2:$B$506,"*",Bets!$H$2:$H$506,"Y",Bets!$U$2:$U$506,"L")</f>
        <v/>
      </c>
      <c r="F11">
        <f>COUNTIFS(Bets!$A$2:$A$506,"&lt;&gt;",Bets!$B$2:$B$506,"*",Bets!$H$2:$H$506,"Y",Bets!$U$2:$U$506,"Push")</f>
        <v/>
      </c>
      <c r="G11">
        <f>COUNTIFS(Bets!$A$2:$A$506,"&lt;&gt;",Bets!$B$2:$B$506,"*",Bets!$H$2:$H$506,"Y",Bets!$U$2:$U$506,"Pending")</f>
        <v/>
      </c>
      <c r="H11">
        <f>COUNTIFS(Bets!$A$2:$A$506,"&lt;&gt;",Bets!$B$2:$B$506,"*",Bets!$H$2:$H$506,"Y",Bets!$U$2:$U$506,"Unknown")</f>
        <v/>
      </c>
      <c r="I11" s="9">
        <f>IF(D11+E11=0,"",D11/(D11+E11))</f>
        <v/>
      </c>
      <c r="J11" s="10">
        <f>SUMIFS(Bets!$Q$2:$Q$506,Bets!$A$2:$A$506,"&lt;&gt;",Bets!$B$2:$B$506,"*",Bets!$H$2:$H$506,"Y")</f>
        <v/>
      </c>
      <c r="K11" s="10">
        <f>SUMIFS(Bets!$AC$2:$AC$506,Bets!$A$2:$A$506,"&lt;&gt;",Bets!$B$2:$B$506,"*",Bets!$H$2:$H$506,"Y")</f>
        <v/>
      </c>
      <c r="L11" s="11">
        <f>SUMIFS(Bets!$V$2:$V$506,Bets!$A$2:$A$506,"&lt;&gt;",Bets!$B$2:$B$506,"*",Bets!$H$2:$H$506,"Y")</f>
        <v/>
      </c>
      <c r="M11" s="12">
        <f>IF(K11=0,"",L11/K11)</f>
        <v/>
      </c>
      <c r="N11" s="13">
        <f>SUMIFS(Bets!$AD$2:$AD$506,Bets!$A$2:$A$506,"&lt;&gt;",Bets!$B$2:$B$506,"*",Bets!$H$2:$H$506,"Y")</f>
        <v/>
      </c>
      <c r="O11" s="14">
        <f>SUMIFS(Bets!$W$2:$W$506,Bets!$A$2:$A$506,"&lt;&gt;",Bets!$B$2:$B$506,"*",Bets!$H$2:$H$506,"Y")</f>
        <v/>
      </c>
      <c r="P11" s="12">
        <f>IF(N11=0,"",O11/N11)</f>
        <v/>
      </c>
    </row>
    <row r="12">
      <c r="A12" t="inlineStr">
        <is>
          <t>Combined</t>
        </is>
      </c>
      <c r="B12" t="inlineStr">
        <is>
          <t>N</t>
        </is>
      </c>
      <c r="C12">
        <f>COUNTIFS(Bets!$A$2:$A$506,"&lt;&gt;",Bets!$B$2:$B$506,"*",Bets!$H$2:$H$506,"N")</f>
        <v/>
      </c>
      <c r="D12">
        <f>COUNTIFS(Bets!$A$2:$A$506,"&lt;&gt;",Bets!$B$2:$B$506,"*",Bets!$H$2:$H$506,"N",Bets!$U$2:$U$506,"W")</f>
        <v/>
      </c>
      <c r="E12">
        <f>COUNTIFS(Bets!$A$2:$A$506,"&lt;&gt;",Bets!$B$2:$B$506,"*",Bets!$H$2:$H$506,"N",Bets!$U$2:$U$506,"L")</f>
        <v/>
      </c>
      <c r="F12">
        <f>COUNTIFS(Bets!$A$2:$A$506,"&lt;&gt;",Bets!$B$2:$B$506,"*",Bets!$H$2:$H$506,"N",Bets!$U$2:$U$506,"Push")</f>
        <v/>
      </c>
      <c r="G12">
        <f>COUNTIFS(Bets!$A$2:$A$506,"&lt;&gt;",Bets!$B$2:$B$506,"*",Bets!$H$2:$H$506,"N",Bets!$U$2:$U$506,"Pending")</f>
        <v/>
      </c>
      <c r="H12">
        <f>COUNTIFS(Bets!$A$2:$A$506,"&lt;&gt;",Bets!$B$2:$B$506,"*",Bets!$H$2:$H$506,"N",Bets!$U$2:$U$506,"Unknown")</f>
        <v/>
      </c>
      <c r="I12" s="9">
        <f>IF(D12+E12=0,"",D12/(D12+E12))</f>
        <v/>
      </c>
      <c r="J12" s="10">
        <f>SUMIFS(Bets!$Q$2:$Q$506,Bets!$A$2:$A$506,"&lt;&gt;",Bets!$B$2:$B$506,"*",Bets!$H$2:$H$506,"N")</f>
        <v/>
      </c>
      <c r="K12" s="10">
        <f>SUMIFS(Bets!$AC$2:$AC$506,Bets!$A$2:$A$506,"&lt;&gt;",Bets!$B$2:$B$506,"*",Bets!$H$2:$H$506,"N")</f>
        <v/>
      </c>
      <c r="L12" s="11">
        <f>SUMIFS(Bets!$V$2:$V$506,Bets!$A$2:$A$506,"&lt;&gt;",Bets!$B$2:$B$506,"*",Bets!$H$2:$H$506,"N")</f>
        <v/>
      </c>
      <c r="M12" s="12">
        <f>IF(K12=0,"",L12/K12)</f>
        <v/>
      </c>
      <c r="N12" s="13">
        <f>SUMIFS(Bets!$AD$2:$AD$506,Bets!$A$2:$A$506,"&lt;&gt;",Bets!$B$2:$B$506,"*",Bets!$H$2:$H$506,"N")</f>
        <v/>
      </c>
      <c r="O12" s="14">
        <f>SUMIFS(Bets!$W$2:$W$506,Bets!$A$2:$A$506,"&lt;&gt;",Bets!$B$2:$B$506,"*",Bets!$H$2:$H$506,"N")</f>
        <v/>
      </c>
      <c r="P12" s="12">
        <f>IF(N12=0,"",O12/N12)</f>
        <v/>
      </c>
    </row>
    <row r="13">
      <c r="A13" t="inlineStr">
        <is>
          <t>Combined</t>
        </is>
      </c>
      <c r="B13" t="inlineStr">
        <is>
          <t>Unknown</t>
        </is>
      </c>
      <c r="C13">
        <f>COUNTIFS(Bets!$A$2:$A$506,"&lt;&gt;",Bets!$B$2:$B$506,"*",Bets!$H$2:$H$506,"Unknown")</f>
        <v/>
      </c>
      <c r="D13">
        <f>COUNTIFS(Bets!$A$2:$A$506,"&lt;&gt;",Bets!$B$2:$B$506,"*",Bets!$H$2:$H$506,"Unknown",Bets!$U$2:$U$506,"W")</f>
        <v/>
      </c>
      <c r="E13">
        <f>COUNTIFS(Bets!$A$2:$A$506,"&lt;&gt;",Bets!$B$2:$B$506,"*",Bets!$H$2:$H$506,"Unknown",Bets!$U$2:$U$506,"L")</f>
        <v/>
      </c>
      <c r="F13">
        <f>COUNTIFS(Bets!$A$2:$A$506,"&lt;&gt;",Bets!$B$2:$B$506,"*",Bets!$H$2:$H$506,"Unknown",Bets!$U$2:$U$506,"Push")</f>
        <v/>
      </c>
      <c r="G13">
        <f>COUNTIFS(Bets!$A$2:$A$506,"&lt;&gt;",Bets!$B$2:$B$506,"*",Bets!$H$2:$H$506,"Unknown",Bets!$U$2:$U$506,"Pending")</f>
        <v/>
      </c>
      <c r="H13">
        <f>COUNTIFS(Bets!$A$2:$A$506,"&lt;&gt;",Bets!$B$2:$B$506,"*",Bets!$H$2:$H$506,"Unknown",Bets!$U$2:$U$506,"Unknown")</f>
        <v/>
      </c>
      <c r="I13" s="9">
        <f>IF(D13+E13=0,"",D13/(D13+E13))</f>
        <v/>
      </c>
      <c r="J13" s="10">
        <f>SUMIFS(Bets!$Q$2:$Q$506,Bets!$A$2:$A$506,"&lt;&gt;",Bets!$B$2:$B$506,"*",Bets!$H$2:$H$506,"Unknown")</f>
        <v/>
      </c>
      <c r="K13" s="10">
        <f>SUMIFS(Bets!$AC$2:$AC$506,Bets!$A$2:$A$506,"&lt;&gt;",Bets!$B$2:$B$506,"*",Bets!$H$2:$H$506,"Unknown")</f>
        <v/>
      </c>
      <c r="L13" s="11">
        <f>SUMIFS(Bets!$V$2:$V$506,Bets!$A$2:$A$506,"&lt;&gt;",Bets!$B$2:$B$506,"*",Bets!$H$2:$H$506,"Unknown")</f>
        <v/>
      </c>
      <c r="M13" s="12">
        <f>IF(K13=0,"",L13/K13)</f>
        <v/>
      </c>
      <c r="N13" s="13">
        <f>SUMIFS(Bets!$AD$2:$AD$506,Bets!$A$2:$A$506,"&lt;&gt;",Bets!$B$2:$B$506,"*",Bets!$H$2:$H$506,"Unknown")</f>
        <v/>
      </c>
      <c r="O13" s="14">
        <f>SUMIFS(Bets!$W$2:$W$506,Bets!$A$2:$A$506,"&lt;&gt;",Bets!$B$2:$B$506,"*",Bets!$H$2:$H$506,"Unknown")</f>
        <v/>
      </c>
      <c r="P13" s="12">
        <f>IF(N13=0,"",O13/N13)</f>
        <v/>
      </c>
    </row>
    <row r="15">
      <c r="A15" s="7" t="inlineStr">
        <is>
          <t>By prime-time slot</t>
        </is>
      </c>
    </row>
    <row r="16">
      <c r="A16" s="8" t="inlineStr">
        <is>
          <t>Bettor</t>
        </is>
      </c>
      <c r="B16" s="8" t="inlineStr">
        <is>
          <t>Slot</t>
        </is>
      </c>
      <c r="C16" s="8" t="inlineStr">
        <is>
          <t>Bets</t>
        </is>
      </c>
      <c r="D16" s="8" t="inlineStr">
        <is>
          <t>W</t>
        </is>
      </c>
      <c r="E16" s="8" t="inlineStr">
        <is>
          <t>L</t>
        </is>
      </c>
      <c r="F16" s="8" t="inlineStr">
        <is>
          <t>Push</t>
        </is>
      </c>
      <c r="G16" s="8" t="inlineStr">
        <is>
          <t>Pending</t>
        </is>
      </c>
      <c r="H16" s="8" t="inlineStr">
        <is>
          <t>Unknown</t>
        </is>
      </c>
      <c r="I16" s="8" t="inlineStr">
        <is>
          <t>Win % (W/(W+L))</t>
        </is>
      </c>
      <c r="J16" s="8" t="inlineStr">
        <is>
          <t>Total staked $ (all $ bets)</t>
        </is>
      </c>
      <c r="K16" s="8" t="inlineStr">
        <is>
          <t>Settled staked $</t>
        </is>
      </c>
      <c r="L16" s="8" t="inlineStr">
        <is>
          <t>Net P/L $</t>
        </is>
      </c>
      <c r="M16" s="8" t="inlineStr">
        <is>
          <t>ROI (net / settled $)</t>
        </is>
      </c>
      <c r="N16" s="8" t="inlineStr">
        <is>
          <t>Units staked (settled)</t>
        </is>
      </c>
      <c r="O16" s="8" t="inlineStr">
        <is>
          <t>Net units</t>
        </is>
      </c>
      <c r="P16" s="8" t="inlineStr">
        <is>
          <t>ROI (units)</t>
        </is>
      </c>
    </row>
    <row r="17">
      <c r="A17" t="inlineStr">
        <is>
          <t>Trent (@BookitWithTrent)</t>
        </is>
      </c>
      <c r="B17" t="inlineStr">
        <is>
          <t>TNF</t>
        </is>
      </c>
      <c r="C17">
        <f>COUNTIFS(Bets!$A$2:$A$506,"&lt;&gt;",Bets!$B$2:$B$506,"Trent",Bets!$I$2:$I$506,"TNF")</f>
        <v/>
      </c>
      <c r="D17">
        <f>COUNTIFS(Bets!$A$2:$A$506,"&lt;&gt;",Bets!$B$2:$B$506,"Trent",Bets!$I$2:$I$506,"TNF",Bets!$U$2:$U$506,"W")</f>
        <v/>
      </c>
      <c r="E17">
        <f>COUNTIFS(Bets!$A$2:$A$506,"&lt;&gt;",Bets!$B$2:$B$506,"Trent",Bets!$I$2:$I$506,"TNF",Bets!$U$2:$U$506,"L")</f>
        <v/>
      </c>
      <c r="F17">
        <f>COUNTIFS(Bets!$A$2:$A$506,"&lt;&gt;",Bets!$B$2:$B$506,"Trent",Bets!$I$2:$I$506,"TNF",Bets!$U$2:$U$506,"Push")</f>
        <v/>
      </c>
      <c r="G17">
        <f>COUNTIFS(Bets!$A$2:$A$506,"&lt;&gt;",Bets!$B$2:$B$506,"Trent",Bets!$I$2:$I$506,"TNF",Bets!$U$2:$U$506,"Pending")</f>
        <v/>
      </c>
      <c r="H17">
        <f>COUNTIFS(Bets!$A$2:$A$506,"&lt;&gt;",Bets!$B$2:$B$506,"Trent",Bets!$I$2:$I$506,"TNF",Bets!$U$2:$U$506,"Unknown")</f>
        <v/>
      </c>
      <c r="I17" s="9">
        <f>IF(D17+E17=0,"",D17/(D17+E17))</f>
        <v/>
      </c>
      <c r="J17" s="10">
        <f>SUMIFS(Bets!$Q$2:$Q$506,Bets!$A$2:$A$506,"&lt;&gt;",Bets!$B$2:$B$506,"Trent",Bets!$I$2:$I$506,"TNF")</f>
        <v/>
      </c>
      <c r="K17" s="10">
        <f>SUMIFS(Bets!$AC$2:$AC$506,Bets!$A$2:$A$506,"&lt;&gt;",Bets!$B$2:$B$506,"Trent",Bets!$I$2:$I$506,"TNF")</f>
        <v/>
      </c>
      <c r="L17" s="11">
        <f>SUMIFS(Bets!$V$2:$V$506,Bets!$A$2:$A$506,"&lt;&gt;",Bets!$B$2:$B$506,"Trent",Bets!$I$2:$I$506,"TNF")</f>
        <v/>
      </c>
      <c r="M17" s="12">
        <f>IF(K17=0,"",L17/K17)</f>
        <v/>
      </c>
      <c r="N17" s="13">
        <f>SUMIFS(Bets!$AD$2:$AD$506,Bets!$A$2:$A$506,"&lt;&gt;",Bets!$B$2:$B$506,"Trent",Bets!$I$2:$I$506,"TNF")</f>
        <v/>
      </c>
      <c r="O17" s="14">
        <f>SUMIFS(Bets!$W$2:$W$506,Bets!$A$2:$A$506,"&lt;&gt;",Bets!$B$2:$B$506,"Trent",Bets!$I$2:$I$506,"TNF")</f>
        <v/>
      </c>
      <c r="P17" s="12">
        <f>IF(N17=0,"",O17/N17)</f>
        <v/>
      </c>
    </row>
    <row r="18">
      <c r="A18" t="inlineStr">
        <is>
          <t>Trent (@BookitWithTrent)</t>
        </is>
      </c>
      <c r="B18" t="inlineStr">
        <is>
          <t>SNF</t>
        </is>
      </c>
      <c r="C18">
        <f>COUNTIFS(Bets!$A$2:$A$506,"&lt;&gt;",Bets!$B$2:$B$506,"Trent",Bets!$I$2:$I$506,"SNF")</f>
        <v/>
      </c>
      <c r="D18">
        <f>COUNTIFS(Bets!$A$2:$A$506,"&lt;&gt;",Bets!$B$2:$B$506,"Trent",Bets!$I$2:$I$506,"SNF",Bets!$U$2:$U$506,"W")</f>
        <v/>
      </c>
      <c r="E18">
        <f>COUNTIFS(Bets!$A$2:$A$506,"&lt;&gt;",Bets!$B$2:$B$506,"Trent",Bets!$I$2:$I$506,"SNF",Bets!$U$2:$U$506,"L")</f>
        <v/>
      </c>
      <c r="F18">
        <f>COUNTIFS(Bets!$A$2:$A$506,"&lt;&gt;",Bets!$B$2:$B$506,"Trent",Bets!$I$2:$I$506,"SNF",Bets!$U$2:$U$506,"Push")</f>
        <v/>
      </c>
      <c r="G18">
        <f>COUNTIFS(Bets!$A$2:$A$506,"&lt;&gt;",Bets!$B$2:$B$506,"Trent",Bets!$I$2:$I$506,"SNF",Bets!$U$2:$U$506,"Pending")</f>
        <v/>
      </c>
      <c r="H18">
        <f>COUNTIFS(Bets!$A$2:$A$506,"&lt;&gt;",Bets!$B$2:$B$506,"Trent",Bets!$I$2:$I$506,"SNF",Bets!$U$2:$U$506,"Unknown")</f>
        <v/>
      </c>
      <c r="I18" s="9">
        <f>IF(D18+E18=0,"",D18/(D18+E18))</f>
        <v/>
      </c>
      <c r="J18" s="10">
        <f>SUMIFS(Bets!$Q$2:$Q$506,Bets!$A$2:$A$506,"&lt;&gt;",Bets!$B$2:$B$506,"Trent",Bets!$I$2:$I$506,"SNF")</f>
        <v/>
      </c>
      <c r="K18" s="10">
        <f>SUMIFS(Bets!$AC$2:$AC$506,Bets!$A$2:$A$506,"&lt;&gt;",Bets!$B$2:$B$506,"Trent",Bets!$I$2:$I$506,"SNF")</f>
        <v/>
      </c>
      <c r="L18" s="11">
        <f>SUMIFS(Bets!$V$2:$V$506,Bets!$A$2:$A$506,"&lt;&gt;",Bets!$B$2:$B$506,"Trent",Bets!$I$2:$I$506,"SNF")</f>
        <v/>
      </c>
      <c r="M18" s="12">
        <f>IF(K18=0,"",L18/K18)</f>
        <v/>
      </c>
      <c r="N18" s="13">
        <f>SUMIFS(Bets!$AD$2:$AD$506,Bets!$A$2:$A$506,"&lt;&gt;",Bets!$B$2:$B$506,"Trent",Bets!$I$2:$I$506,"SNF")</f>
        <v/>
      </c>
      <c r="O18" s="14">
        <f>SUMIFS(Bets!$W$2:$W$506,Bets!$A$2:$A$506,"&lt;&gt;",Bets!$B$2:$B$506,"Trent",Bets!$I$2:$I$506,"SNF")</f>
        <v/>
      </c>
      <c r="P18" s="12">
        <f>IF(N18=0,"",O18/N18)</f>
        <v/>
      </c>
    </row>
    <row r="19">
      <c r="A19" t="inlineStr">
        <is>
          <t>Trent (@BookitWithTrent)</t>
        </is>
      </c>
      <c r="B19" t="inlineStr">
        <is>
          <t>MNF</t>
        </is>
      </c>
      <c r="C19">
        <f>COUNTIFS(Bets!$A$2:$A$506,"&lt;&gt;",Bets!$B$2:$B$506,"Trent",Bets!$I$2:$I$506,"MNF")</f>
        <v/>
      </c>
      <c r="D19">
        <f>COUNTIFS(Bets!$A$2:$A$506,"&lt;&gt;",Bets!$B$2:$B$506,"Trent",Bets!$I$2:$I$506,"MNF",Bets!$U$2:$U$506,"W")</f>
        <v/>
      </c>
      <c r="E19">
        <f>COUNTIFS(Bets!$A$2:$A$506,"&lt;&gt;",Bets!$B$2:$B$506,"Trent",Bets!$I$2:$I$506,"MNF",Bets!$U$2:$U$506,"L")</f>
        <v/>
      </c>
      <c r="F19">
        <f>COUNTIFS(Bets!$A$2:$A$506,"&lt;&gt;",Bets!$B$2:$B$506,"Trent",Bets!$I$2:$I$506,"MNF",Bets!$U$2:$U$506,"Push")</f>
        <v/>
      </c>
      <c r="G19">
        <f>COUNTIFS(Bets!$A$2:$A$506,"&lt;&gt;",Bets!$B$2:$B$506,"Trent",Bets!$I$2:$I$506,"MNF",Bets!$U$2:$U$506,"Pending")</f>
        <v/>
      </c>
      <c r="H19">
        <f>COUNTIFS(Bets!$A$2:$A$506,"&lt;&gt;",Bets!$B$2:$B$506,"Trent",Bets!$I$2:$I$506,"MNF",Bets!$U$2:$U$506,"Unknown")</f>
        <v/>
      </c>
      <c r="I19" s="9">
        <f>IF(D19+E19=0,"",D19/(D19+E19))</f>
        <v/>
      </c>
      <c r="J19" s="10">
        <f>SUMIFS(Bets!$Q$2:$Q$506,Bets!$A$2:$A$506,"&lt;&gt;",Bets!$B$2:$B$506,"Trent",Bets!$I$2:$I$506,"MNF")</f>
        <v/>
      </c>
      <c r="K19" s="10">
        <f>SUMIFS(Bets!$AC$2:$AC$506,Bets!$A$2:$A$506,"&lt;&gt;",Bets!$B$2:$B$506,"Trent",Bets!$I$2:$I$506,"MNF")</f>
        <v/>
      </c>
      <c r="L19" s="11">
        <f>SUMIFS(Bets!$V$2:$V$506,Bets!$A$2:$A$506,"&lt;&gt;",Bets!$B$2:$B$506,"Trent",Bets!$I$2:$I$506,"MNF")</f>
        <v/>
      </c>
      <c r="M19" s="12">
        <f>IF(K19=0,"",L19/K19)</f>
        <v/>
      </c>
      <c r="N19" s="13">
        <f>SUMIFS(Bets!$AD$2:$AD$506,Bets!$A$2:$A$506,"&lt;&gt;",Bets!$B$2:$B$506,"Trent",Bets!$I$2:$I$506,"MNF")</f>
        <v/>
      </c>
      <c r="O19" s="14">
        <f>SUMIFS(Bets!$W$2:$W$506,Bets!$A$2:$A$506,"&lt;&gt;",Bets!$B$2:$B$506,"Trent",Bets!$I$2:$I$506,"MNF")</f>
        <v/>
      </c>
      <c r="P19" s="12">
        <f>IF(N19=0,"",O19/N19)</f>
        <v/>
      </c>
    </row>
    <row r="20">
      <c r="A20" t="inlineStr">
        <is>
          <t>Trent (@BookitWithTrent)</t>
        </is>
      </c>
      <c r="B20" t="inlineStr">
        <is>
          <t>NFL primetime (other day)</t>
        </is>
      </c>
      <c r="C20">
        <f>COUNTIFS(Bets!$A$2:$A$506,"&lt;&gt;",Bets!$B$2:$B$506,"Trent",Bets!$I$2:$I$506,"NFL primetime (other day)")</f>
        <v/>
      </c>
      <c r="D20">
        <f>COUNTIFS(Bets!$A$2:$A$506,"&lt;&gt;",Bets!$B$2:$B$506,"Trent",Bets!$I$2:$I$506,"NFL primetime (other day)",Bets!$U$2:$U$506,"W")</f>
        <v/>
      </c>
      <c r="E20">
        <f>COUNTIFS(Bets!$A$2:$A$506,"&lt;&gt;",Bets!$B$2:$B$506,"Trent",Bets!$I$2:$I$506,"NFL primetime (other day)",Bets!$U$2:$U$506,"L")</f>
        <v/>
      </c>
      <c r="F20">
        <f>COUNTIFS(Bets!$A$2:$A$506,"&lt;&gt;",Bets!$B$2:$B$506,"Trent",Bets!$I$2:$I$506,"NFL primetime (other day)",Bets!$U$2:$U$506,"Push")</f>
        <v/>
      </c>
      <c r="G20">
        <f>COUNTIFS(Bets!$A$2:$A$506,"&lt;&gt;",Bets!$B$2:$B$506,"Trent",Bets!$I$2:$I$506,"NFL primetime (other day)",Bets!$U$2:$U$506,"Pending")</f>
        <v/>
      </c>
      <c r="H20">
        <f>COUNTIFS(Bets!$A$2:$A$506,"&lt;&gt;",Bets!$B$2:$B$506,"Trent",Bets!$I$2:$I$506,"NFL primetime (other day)",Bets!$U$2:$U$506,"Unknown")</f>
        <v/>
      </c>
      <c r="I20" s="9">
        <f>IF(D20+E20=0,"",D20/(D20+E20))</f>
        <v/>
      </c>
      <c r="J20" s="10">
        <f>SUMIFS(Bets!$Q$2:$Q$506,Bets!$A$2:$A$506,"&lt;&gt;",Bets!$B$2:$B$506,"Trent",Bets!$I$2:$I$506,"NFL primetime (other day)")</f>
        <v/>
      </c>
      <c r="K20" s="10">
        <f>SUMIFS(Bets!$AC$2:$AC$506,Bets!$A$2:$A$506,"&lt;&gt;",Bets!$B$2:$B$506,"Trent",Bets!$I$2:$I$506,"NFL primetime (other day)")</f>
        <v/>
      </c>
      <c r="L20" s="11">
        <f>SUMIFS(Bets!$V$2:$V$506,Bets!$A$2:$A$506,"&lt;&gt;",Bets!$B$2:$B$506,"Trent",Bets!$I$2:$I$506,"NFL primetime (other day)")</f>
        <v/>
      </c>
      <c r="M20" s="12">
        <f>IF(K20=0,"",L20/K20)</f>
        <v/>
      </c>
      <c r="N20" s="13">
        <f>SUMIFS(Bets!$AD$2:$AD$506,Bets!$A$2:$A$506,"&lt;&gt;",Bets!$B$2:$B$506,"Trent",Bets!$I$2:$I$506,"NFL primetime (other day)")</f>
        <v/>
      </c>
      <c r="O20" s="14">
        <f>SUMIFS(Bets!$W$2:$W$506,Bets!$A$2:$A$506,"&lt;&gt;",Bets!$B$2:$B$506,"Trent",Bets!$I$2:$I$506,"NFL primetime (other day)")</f>
        <v/>
      </c>
      <c r="P20" s="12">
        <f>IF(N20=0,"",O20/N20)</f>
        <v/>
      </c>
    </row>
    <row r="21">
      <c r="A21" t="inlineStr">
        <is>
          <t>Trent (@BookitWithTrent)</t>
        </is>
      </c>
      <c r="B21" t="inlineStr">
        <is>
          <t>CFB Saturday night</t>
        </is>
      </c>
      <c r="C21">
        <f>COUNTIFS(Bets!$A$2:$A$506,"&lt;&gt;",Bets!$B$2:$B$506,"Trent",Bets!$I$2:$I$506,"CFB Saturday night")</f>
        <v/>
      </c>
      <c r="D21">
        <f>COUNTIFS(Bets!$A$2:$A$506,"&lt;&gt;",Bets!$B$2:$B$506,"Trent",Bets!$I$2:$I$506,"CFB Saturday night",Bets!$U$2:$U$506,"W")</f>
        <v/>
      </c>
      <c r="E21">
        <f>COUNTIFS(Bets!$A$2:$A$506,"&lt;&gt;",Bets!$B$2:$B$506,"Trent",Bets!$I$2:$I$506,"CFB Saturday night",Bets!$U$2:$U$506,"L")</f>
        <v/>
      </c>
      <c r="F21">
        <f>COUNTIFS(Bets!$A$2:$A$506,"&lt;&gt;",Bets!$B$2:$B$506,"Trent",Bets!$I$2:$I$506,"CFB Saturday night",Bets!$U$2:$U$506,"Push")</f>
        <v/>
      </c>
      <c r="G21">
        <f>COUNTIFS(Bets!$A$2:$A$506,"&lt;&gt;",Bets!$B$2:$B$506,"Trent",Bets!$I$2:$I$506,"CFB Saturday night",Bets!$U$2:$U$506,"Pending")</f>
        <v/>
      </c>
      <c r="H21">
        <f>COUNTIFS(Bets!$A$2:$A$506,"&lt;&gt;",Bets!$B$2:$B$506,"Trent",Bets!$I$2:$I$506,"CFB Saturday night",Bets!$U$2:$U$506,"Unknown")</f>
        <v/>
      </c>
      <c r="I21" s="9">
        <f>IF(D21+E21=0,"",D21/(D21+E21))</f>
        <v/>
      </c>
      <c r="J21" s="10">
        <f>SUMIFS(Bets!$Q$2:$Q$506,Bets!$A$2:$A$506,"&lt;&gt;",Bets!$B$2:$B$506,"Trent",Bets!$I$2:$I$506,"CFB Saturday night")</f>
        <v/>
      </c>
      <c r="K21" s="10">
        <f>SUMIFS(Bets!$AC$2:$AC$506,Bets!$A$2:$A$506,"&lt;&gt;",Bets!$B$2:$B$506,"Trent",Bets!$I$2:$I$506,"CFB Saturday night")</f>
        <v/>
      </c>
      <c r="L21" s="11">
        <f>SUMIFS(Bets!$V$2:$V$506,Bets!$A$2:$A$506,"&lt;&gt;",Bets!$B$2:$B$506,"Trent",Bets!$I$2:$I$506,"CFB Saturday night")</f>
        <v/>
      </c>
      <c r="M21" s="12">
        <f>IF(K21=0,"",L21/K21)</f>
        <v/>
      </c>
      <c r="N21" s="13">
        <f>SUMIFS(Bets!$AD$2:$AD$506,Bets!$A$2:$A$506,"&lt;&gt;",Bets!$B$2:$B$506,"Trent",Bets!$I$2:$I$506,"CFB Saturday night")</f>
        <v/>
      </c>
      <c r="O21" s="14">
        <f>SUMIFS(Bets!$W$2:$W$506,Bets!$A$2:$A$506,"&lt;&gt;",Bets!$B$2:$B$506,"Trent",Bets!$I$2:$I$506,"CFB Saturday night")</f>
        <v/>
      </c>
      <c r="P21" s="12">
        <f>IF(N21=0,"",O21/N21)</f>
        <v/>
      </c>
    </row>
    <row r="22">
      <c r="A22" t="inlineStr">
        <is>
          <t>Trent (@BookitWithTrent)</t>
        </is>
      </c>
      <c r="B22" t="inlineStr">
        <is>
          <t>CFB weeknight (Tue-Fri)</t>
        </is>
      </c>
      <c r="C22">
        <f>COUNTIFS(Bets!$A$2:$A$506,"&lt;&gt;",Bets!$B$2:$B$506,"Trent",Bets!$I$2:$I$506,"CFB weeknight (Tue-Fri)")</f>
        <v/>
      </c>
      <c r="D22">
        <f>COUNTIFS(Bets!$A$2:$A$506,"&lt;&gt;",Bets!$B$2:$B$506,"Trent",Bets!$I$2:$I$506,"CFB weeknight (Tue-Fri)",Bets!$U$2:$U$506,"W")</f>
        <v/>
      </c>
      <c r="E22">
        <f>COUNTIFS(Bets!$A$2:$A$506,"&lt;&gt;",Bets!$B$2:$B$506,"Trent",Bets!$I$2:$I$506,"CFB weeknight (Tue-Fri)",Bets!$U$2:$U$506,"L")</f>
        <v/>
      </c>
      <c r="F22">
        <f>COUNTIFS(Bets!$A$2:$A$506,"&lt;&gt;",Bets!$B$2:$B$506,"Trent",Bets!$I$2:$I$506,"CFB weeknight (Tue-Fri)",Bets!$U$2:$U$506,"Push")</f>
        <v/>
      </c>
      <c r="G22">
        <f>COUNTIFS(Bets!$A$2:$A$506,"&lt;&gt;",Bets!$B$2:$B$506,"Trent",Bets!$I$2:$I$506,"CFB weeknight (Tue-Fri)",Bets!$U$2:$U$506,"Pending")</f>
        <v/>
      </c>
      <c r="H22">
        <f>COUNTIFS(Bets!$A$2:$A$506,"&lt;&gt;",Bets!$B$2:$B$506,"Trent",Bets!$I$2:$I$506,"CFB weeknight (Tue-Fri)",Bets!$U$2:$U$506,"Unknown")</f>
        <v/>
      </c>
      <c r="I22" s="9">
        <f>IF(D22+E22=0,"",D22/(D22+E22))</f>
        <v/>
      </c>
      <c r="J22" s="10">
        <f>SUMIFS(Bets!$Q$2:$Q$506,Bets!$A$2:$A$506,"&lt;&gt;",Bets!$B$2:$B$506,"Trent",Bets!$I$2:$I$506,"CFB weeknight (Tue-Fri)")</f>
        <v/>
      </c>
      <c r="K22" s="10">
        <f>SUMIFS(Bets!$AC$2:$AC$506,Bets!$A$2:$A$506,"&lt;&gt;",Bets!$B$2:$B$506,"Trent",Bets!$I$2:$I$506,"CFB weeknight (Tue-Fri)")</f>
        <v/>
      </c>
      <c r="L22" s="11">
        <f>SUMIFS(Bets!$V$2:$V$506,Bets!$A$2:$A$506,"&lt;&gt;",Bets!$B$2:$B$506,"Trent",Bets!$I$2:$I$506,"CFB weeknight (Tue-Fri)")</f>
        <v/>
      </c>
      <c r="M22" s="12">
        <f>IF(K22=0,"",L22/K22)</f>
        <v/>
      </c>
      <c r="N22" s="13">
        <f>SUMIFS(Bets!$AD$2:$AD$506,Bets!$A$2:$A$506,"&lt;&gt;",Bets!$B$2:$B$506,"Trent",Bets!$I$2:$I$506,"CFB weeknight (Tue-Fri)")</f>
        <v/>
      </c>
      <c r="O22" s="14">
        <f>SUMIFS(Bets!$W$2:$W$506,Bets!$A$2:$A$506,"&lt;&gt;",Bets!$B$2:$B$506,"Trent",Bets!$I$2:$I$506,"CFB weeknight (Tue-Fri)")</f>
        <v/>
      </c>
      <c r="P22" s="12">
        <f>IF(N22=0,"",O22/N22)</f>
        <v/>
      </c>
    </row>
    <row r="23">
      <c r="A23" t="inlineStr">
        <is>
          <t>Trent (@BookitWithTrent)</t>
        </is>
      </c>
      <c r="B23" t="inlineStr">
        <is>
          <t>kickoff not matched</t>
        </is>
      </c>
      <c r="C23">
        <f>COUNTIFS(Bets!$A$2:$A$506,"&lt;&gt;",Bets!$B$2:$B$506,"Trent",Bets!$I$2:$I$506,"kickoff not matched")</f>
        <v/>
      </c>
      <c r="D23">
        <f>COUNTIFS(Bets!$A$2:$A$506,"&lt;&gt;",Bets!$B$2:$B$506,"Trent",Bets!$I$2:$I$506,"kickoff not matched",Bets!$U$2:$U$506,"W")</f>
        <v/>
      </c>
      <c r="E23">
        <f>COUNTIFS(Bets!$A$2:$A$506,"&lt;&gt;",Bets!$B$2:$B$506,"Trent",Bets!$I$2:$I$506,"kickoff not matched",Bets!$U$2:$U$506,"L")</f>
        <v/>
      </c>
      <c r="F23">
        <f>COUNTIFS(Bets!$A$2:$A$506,"&lt;&gt;",Bets!$B$2:$B$506,"Trent",Bets!$I$2:$I$506,"kickoff not matched",Bets!$U$2:$U$506,"Push")</f>
        <v/>
      </c>
      <c r="G23">
        <f>COUNTIFS(Bets!$A$2:$A$506,"&lt;&gt;",Bets!$B$2:$B$506,"Trent",Bets!$I$2:$I$506,"kickoff not matched",Bets!$U$2:$U$506,"Pending")</f>
        <v/>
      </c>
      <c r="H23">
        <f>COUNTIFS(Bets!$A$2:$A$506,"&lt;&gt;",Bets!$B$2:$B$506,"Trent",Bets!$I$2:$I$506,"kickoff not matched",Bets!$U$2:$U$506,"Unknown")</f>
        <v/>
      </c>
      <c r="I23" s="9">
        <f>IF(D23+E23=0,"",D23/(D23+E23))</f>
        <v/>
      </c>
      <c r="J23" s="10">
        <f>SUMIFS(Bets!$Q$2:$Q$506,Bets!$A$2:$A$506,"&lt;&gt;",Bets!$B$2:$B$506,"Trent",Bets!$I$2:$I$506,"kickoff not matched")</f>
        <v/>
      </c>
      <c r="K23" s="10">
        <f>SUMIFS(Bets!$AC$2:$AC$506,Bets!$A$2:$A$506,"&lt;&gt;",Bets!$B$2:$B$506,"Trent",Bets!$I$2:$I$506,"kickoff not matched")</f>
        <v/>
      </c>
      <c r="L23" s="11">
        <f>SUMIFS(Bets!$V$2:$V$506,Bets!$A$2:$A$506,"&lt;&gt;",Bets!$B$2:$B$506,"Trent",Bets!$I$2:$I$506,"kickoff not matched")</f>
        <v/>
      </c>
      <c r="M23" s="12">
        <f>IF(K23=0,"",L23/K23)</f>
        <v/>
      </c>
      <c r="N23" s="13">
        <f>SUMIFS(Bets!$AD$2:$AD$506,Bets!$A$2:$A$506,"&lt;&gt;",Bets!$B$2:$B$506,"Trent",Bets!$I$2:$I$506,"kickoff not matched")</f>
        <v/>
      </c>
      <c r="O23" s="14">
        <f>SUMIFS(Bets!$W$2:$W$506,Bets!$A$2:$A$506,"&lt;&gt;",Bets!$B$2:$B$506,"Trent",Bets!$I$2:$I$506,"kickoff not matched")</f>
        <v/>
      </c>
      <c r="P23" s="12">
        <f>IF(N23=0,"",O23/N23)</f>
        <v/>
      </c>
    </row>
    <row r="24">
      <c r="A24" t="inlineStr">
        <is>
          <t>Steve (@stevewilldoit)</t>
        </is>
      </c>
      <c r="B24" t="inlineStr">
        <is>
          <t>TNF</t>
        </is>
      </c>
      <c r="C24">
        <f>COUNTIFS(Bets!$A$2:$A$506,"&lt;&gt;",Bets!$B$2:$B$506,"Steve",Bets!$I$2:$I$506,"TNF")</f>
        <v/>
      </c>
      <c r="D24">
        <f>COUNTIFS(Bets!$A$2:$A$506,"&lt;&gt;",Bets!$B$2:$B$506,"Steve",Bets!$I$2:$I$506,"TNF",Bets!$U$2:$U$506,"W")</f>
        <v/>
      </c>
      <c r="E24">
        <f>COUNTIFS(Bets!$A$2:$A$506,"&lt;&gt;",Bets!$B$2:$B$506,"Steve",Bets!$I$2:$I$506,"TNF",Bets!$U$2:$U$506,"L")</f>
        <v/>
      </c>
      <c r="F24">
        <f>COUNTIFS(Bets!$A$2:$A$506,"&lt;&gt;",Bets!$B$2:$B$506,"Steve",Bets!$I$2:$I$506,"TNF",Bets!$U$2:$U$506,"Push")</f>
        <v/>
      </c>
      <c r="G24">
        <f>COUNTIFS(Bets!$A$2:$A$506,"&lt;&gt;",Bets!$B$2:$B$506,"Steve",Bets!$I$2:$I$506,"TNF",Bets!$U$2:$U$506,"Pending")</f>
        <v/>
      </c>
      <c r="H24">
        <f>COUNTIFS(Bets!$A$2:$A$506,"&lt;&gt;",Bets!$B$2:$B$506,"Steve",Bets!$I$2:$I$506,"TNF",Bets!$U$2:$U$506,"Unknown")</f>
        <v/>
      </c>
      <c r="I24" s="9">
        <f>IF(D24+E24=0,"",D24/(D24+E24))</f>
        <v/>
      </c>
      <c r="J24" s="10">
        <f>SUMIFS(Bets!$Q$2:$Q$506,Bets!$A$2:$A$506,"&lt;&gt;",Bets!$B$2:$B$506,"Steve",Bets!$I$2:$I$506,"TNF")</f>
        <v/>
      </c>
      <c r="K24" s="10">
        <f>SUMIFS(Bets!$AC$2:$AC$506,Bets!$A$2:$A$506,"&lt;&gt;",Bets!$B$2:$B$506,"Steve",Bets!$I$2:$I$506,"TNF")</f>
        <v/>
      </c>
      <c r="L24" s="11">
        <f>SUMIFS(Bets!$V$2:$V$506,Bets!$A$2:$A$506,"&lt;&gt;",Bets!$B$2:$B$506,"Steve",Bets!$I$2:$I$506,"TNF")</f>
        <v/>
      </c>
      <c r="M24" s="12">
        <f>IF(K24=0,"",L24/K24)</f>
        <v/>
      </c>
      <c r="N24" s="13">
        <f>SUMIFS(Bets!$AD$2:$AD$506,Bets!$A$2:$A$506,"&lt;&gt;",Bets!$B$2:$B$506,"Steve",Bets!$I$2:$I$506,"TNF")</f>
        <v/>
      </c>
      <c r="O24" s="14">
        <f>SUMIFS(Bets!$W$2:$W$506,Bets!$A$2:$A$506,"&lt;&gt;",Bets!$B$2:$B$506,"Steve",Bets!$I$2:$I$506,"TNF")</f>
        <v/>
      </c>
      <c r="P24" s="12">
        <f>IF(N24=0,"",O24/N24)</f>
        <v/>
      </c>
    </row>
    <row r="25">
      <c r="A25" t="inlineStr">
        <is>
          <t>Steve (@stevewilldoit)</t>
        </is>
      </c>
      <c r="B25" t="inlineStr">
        <is>
          <t>SNF</t>
        </is>
      </c>
      <c r="C25">
        <f>COUNTIFS(Bets!$A$2:$A$506,"&lt;&gt;",Bets!$B$2:$B$506,"Steve",Bets!$I$2:$I$506,"SNF")</f>
        <v/>
      </c>
      <c r="D25">
        <f>COUNTIFS(Bets!$A$2:$A$506,"&lt;&gt;",Bets!$B$2:$B$506,"Steve",Bets!$I$2:$I$506,"SNF",Bets!$U$2:$U$506,"W")</f>
        <v/>
      </c>
      <c r="E25">
        <f>COUNTIFS(Bets!$A$2:$A$506,"&lt;&gt;",Bets!$B$2:$B$506,"Steve",Bets!$I$2:$I$506,"SNF",Bets!$U$2:$U$506,"L")</f>
        <v/>
      </c>
      <c r="F25">
        <f>COUNTIFS(Bets!$A$2:$A$506,"&lt;&gt;",Bets!$B$2:$B$506,"Steve",Bets!$I$2:$I$506,"SNF",Bets!$U$2:$U$506,"Push")</f>
        <v/>
      </c>
      <c r="G25">
        <f>COUNTIFS(Bets!$A$2:$A$506,"&lt;&gt;",Bets!$B$2:$B$506,"Steve",Bets!$I$2:$I$506,"SNF",Bets!$U$2:$U$506,"Pending")</f>
        <v/>
      </c>
      <c r="H25">
        <f>COUNTIFS(Bets!$A$2:$A$506,"&lt;&gt;",Bets!$B$2:$B$506,"Steve",Bets!$I$2:$I$506,"SNF",Bets!$U$2:$U$506,"Unknown")</f>
        <v/>
      </c>
      <c r="I25" s="9">
        <f>IF(D25+E25=0,"",D25/(D25+E25))</f>
        <v/>
      </c>
      <c r="J25" s="10">
        <f>SUMIFS(Bets!$Q$2:$Q$506,Bets!$A$2:$A$506,"&lt;&gt;",Bets!$B$2:$B$506,"Steve",Bets!$I$2:$I$506,"SNF")</f>
        <v/>
      </c>
      <c r="K25" s="10">
        <f>SUMIFS(Bets!$AC$2:$AC$506,Bets!$A$2:$A$506,"&lt;&gt;",Bets!$B$2:$B$506,"Steve",Bets!$I$2:$I$506,"SNF")</f>
        <v/>
      </c>
      <c r="L25" s="11">
        <f>SUMIFS(Bets!$V$2:$V$506,Bets!$A$2:$A$506,"&lt;&gt;",Bets!$B$2:$B$506,"Steve",Bets!$I$2:$I$506,"SNF")</f>
        <v/>
      </c>
      <c r="M25" s="12">
        <f>IF(K25=0,"",L25/K25)</f>
        <v/>
      </c>
      <c r="N25" s="13">
        <f>SUMIFS(Bets!$AD$2:$AD$506,Bets!$A$2:$A$506,"&lt;&gt;",Bets!$B$2:$B$506,"Steve",Bets!$I$2:$I$506,"SNF")</f>
        <v/>
      </c>
      <c r="O25" s="14">
        <f>SUMIFS(Bets!$W$2:$W$506,Bets!$A$2:$A$506,"&lt;&gt;",Bets!$B$2:$B$506,"Steve",Bets!$I$2:$I$506,"SNF")</f>
        <v/>
      </c>
      <c r="P25" s="12">
        <f>IF(N25=0,"",O25/N25)</f>
        <v/>
      </c>
    </row>
    <row r="26">
      <c r="A26" t="inlineStr">
        <is>
          <t>Steve (@stevewilldoit)</t>
        </is>
      </c>
      <c r="B26" t="inlineStr">
        <is>
          <t>MNF</t>
        </is>
      </c>
      <c r="C26">
        <f>COUNTIFS(Bets!$A$2:$A$506,"&lt;&gt;",Bets!$B$2:$B$506,"Steve",Bets!$I$2:$I$506,"MNF")</f>
        <v/>
      </c>
      <c r="D26">
        <f>COUNTIFS(Bets!$A$2:$A$506,"&lt;&gt;",Bets!$B$2:$B$506,"Steve",Bets!$I$2:$I$506,"MNF",Bets!$U$2:$U$506,"W")</f>
        <v/>
      </c>
      <c r="E26">
        <f>COUNTIFS(Bets!$A$2:$A$506,"&lt;&gt;",Bets!$B$2:$B$506,"Steve",Bets!$I$2:$I$506,"MNF",Bets!$U$2:$U$506,"L")</f>
        <v/>
      </c>
      <c r="F26">
        <f>COUNTIFS(Bets!$A$2:$A$506,"&lt;&gt;",Bets!$B$2:$B$506,"Steve",Bets!$I$2:$I$506,"MNF",Bets!$U$2:$U$506,"Push")</f>
        <v/>
      </c>
      <c r="G26">
        <f>COUNTIFS(Bets!$A$2:$A$506,"&lt;&gt;",Bets!$B$2:$B$506,"Steve",Bets!$I$2:$I$506,"MNF",Bets!$U$2:$U$506,"Pending")</f>
        <v/>
      </c>
      <c r="H26">
        <f>COUNTIFS(Bets!$A$2:$A$506,"&lt;&gt;",Bets!$B$2:$B$506,"Steve",Bets!$I$2:$I$506,"MNF",Bets!$U$2:$U$506,"Unknown")</f>
        <v/>
      </c>
      <c r="I26" s="9">
        <f>IF(D26+E26=0,"",D26/(D26+E26))</f>
        <v/>
      </c>
      <c r="J26" s="10">
        <f>SUMIFS(Bets!$Q$2:$Q$506,Bets!$A$2:$A$506,"&lt;&gt;",Bets!$B$2:$B$506,"Steve",Bets!$I$2:$I$506,"MNF")</f>
        <v/>
      </c>
      <c r="K26" s="10">
        <f>SUMIFS(Bets!$AC$2:$AC$506,Bets!$A$2:$A$506,"&lt;&gt;",Bets!$B$2:$B$506,"Steve",Bets!$I$2:$I$506,"MNF")</f>
        <v/>
      </c>
      <c r="L26" s="11">
        <f>SUMIFS(Bets!$V$2:$V$506,Bets!$A$2:$A$506,"&lt;&gt;",Bets!$B$2:$B$506,"Steve",Bets!$I$2:$I$506,"MNF")</f>
        <v/>
      </c>
      <c r="M26" s="12">
        <f>IF(K26=0,"",L26/K26)</f>
        <v/>
      </c>
      <c r="N26" s="13">
        <f>SUMIFS(Bets!$AD$2:$AD$506,Bets!$A$2:$A$506,"&lt;&gt;",Bets!$B$2:$B$506,"Steve",Bets!$I$2:$I$506,"MNF")</f>
        <v/>
      </c>
      <c r="O26" s="14">
        <f>SUMIFS(Bets!$W$2:$W$506,Bets!$A$2:$A$506,"&lt;&gt;",Bets!$B$2:$B$506,"Steve",Bets!$I$2:$I$506,"MNF")</f>
        <v/>
      </c>
      <c r="P26" s="12">
        <f>IF(N26=0,"",O26/N26)</f>
        <v/>
      </c>
    </row>
    <row r="27">
      <c r="A27" t="inlineStr">
        <is>
          <t>Steve (@stevewilldoit)</t>
        </is>
      </c>
      <c r="B27" t="inlineStr">
        <is>
          <t>NFL primetime (other day)</t>
        </is>
      </c>
      <c r="C27">
        <f>COUNTIFS(Bets!$A$2:$A$506,"&lt;&gt;",Bets!$B$2:$B$506,"Steve",Bets!$I$2:$I$506,"NFL primetime (other day)")</f>
        <v/>
      </c>
      <c r="D27">
        <f>COUNTIFS(Bets!$A$2:$A$506,"&lt;&gt;",Bets!$B$2:$B$506,"Steve",Bets!$I$2:$I$506,"NFL primetime (other day)",Bets!$U$2:$U$506,"W")</f>
        <v/>
      </c>
      <c r="E27">
        <f>COUNTIFS(Bets!$A$2:$A$506,"&lt;&gt;",Bets!$B$2:$B$506,"Steve",Bets!$I$2:$I$506,"NFL primetime (other day)",Bets!$U$2:$U$506,"L")</f>
        <v/>
      </c>
      <c r="F27">
        <f>COUNTIFS(Bets!$A$2:$A$506,"&lt;&gt;",Bets!$B$2:$B$506,"Steve",Bets!$I$2:$I$506,"NFL primetime (other day)",Bets!$U$2:$U$506,"Push")</f>
        <v/>
      </c>
      <c r="G27">
        <f>COUNTIFS(Bets!$A$2:$A$506,"&lt;&gt;",Bets!$B$2:$B$506,"Steve",Bets!$I$2:$I$506,"NFL primetime (other day)",Bets!$U$2:$U$506,"Pending")</f>
        <v/>
      </c>
      <c r="H27">
        <f>COUNTIFS(Bets!$A$2:$A$506,"&lt;&gt;",Bets!$B$2:$B$506,"Steve",Bets!$I$2:$I$506,"NFL primetime (other day)",Bets!$U$2:$U$506,"Unknown")</f>
        <v/>
      </c>
      <c r="I27" s="9">
        <f>IF(D27+E27=0,"",D27/(D27+E27))</f>
        <v/>
      </c>
      <c r="J27" s="10">
        <f>SUMIFS(Bets!$Q$2:$Q$506,Bets!$A$2:$A$506,"&lt;&gt;",Bets!$B$2:$B$506,"Steve",Bets!$I$2:$I$506,"NFL primetime (other day)")</f>
        <v/>
      </c>
      <c r="K27" s="10">
        <f>SUMIFS(Bets!$AC$2:$AC$506,Bets!$A$2:$A$506,"&lt;&gt;",Bets!$B$2:$B$506,"Steve",Bets!$I$2:$I$506,"NFL primetime (other day)")</f>
        <v/>
      </c>
      <c r="L27" s="11">
        <f>SUMIFS(Bets!$V$2:$V$506,Bets!$A$2:$A$506,"&lt;&gt;",Bets!$B$2:$B$506,"Steve",Bets!$I$2:$I$506,"NFL primetime (other day)")</f>
        <v/>
      </c>
      <c r="M27" s="12">
        <f>IF(K27=0,"",L27/K27)</f>
        <v/>
      </c>
      <c r="N27" s="13">
        <f>SUMIFS(Bets!$AD$2:$AD$506,Bets!$A$2:$A$506,"&lt;&gt;",Bets!$B$2:$B$506,"Steve",Bets!$I$2:$I$506,"NFL primetime (other day)")</f>
        <v/>
      </c>
      <c r="O27" s="14">
        <f>SUMIFS(Bets!$W$2:$W$506,Bets!$A$2:$A$506,"&lt;&gt;",Bets!$B$2:$B$506,"Steve",Bets!$I$2:$I$506,"NFL primetime (other day)")</f>
        <v/>
      </c>
      <c r="P27" s="12">
        <f>IF(N27=0,"",O27/N27)</f>
        <v/>
      </c>
    </row>
    <row r="28">
      <c r="A28" t="inlineStr">
        <is>
          <t>Steve (@stevewilldoit)</t>
        </is>
      </c>
      <c r="B28" t="inlineStr">
        <is>
          <t>CFB Saturday night</t>
        </is>
      </c>
      <c r="C28">
        <f>COUNTIFS(Bets!$A$2:$A$506,"&lt;&gt;",Bets!$B$2:$B$506,"Steve",Bets!$I$2:$I$506,"CFB Saturday night")</f>
        <v/>
      </c>
      <c r="D28">
        <f>COUNTIFS(Bets!$A$2:$A$506,"&lt;&gt;",Bets!$B$2:$B$506,"Steve",Bets!$I$2:$I$506,"CFB Saturday night",Bets!$U$2:$U$506,"W")</f>
        <v/>
      </c>
      <c r="E28">
        <f>COUNTIFS(Bets!$A$2:$A$506,"&lt;&gt;",Bets!$B$2:$B$506,"Steve",Bets!$I$2:$I$506,"CFB Saturday night",Bets!$U$2:$U$506,"L")</f>
        <v/>
      </c>
      <c r="F28">
        <f>COUNTIFS(Bets!$A$2:$A$506,"&lt;&gt;",Bets!$B$2:$B$506,"Steve",Bets!$I$2:$I$506,"CFB Saturday night",Bets!$U$2:$U$506,"Push")</f>
        <v/>
      </c>
      <c r="G28">
        <f>COUNTIFS(Bets!$A$2:$A$506,"&lt;&gt;",Bets!$B$2:$B$506,"Steve",Bets!$I$2:$I$506,"CFB Saturday night",Bets!$U$2:$U$506,"Pending")</f>
        <v/>
      </c>
      <c r="H28">
        <f>COUNTIFS(Bets!$A$2:$A$506,"&lt;&gt;",Bets!$B$2:$B$506,"Steve",Bets!$I$2:$I$506,"CFB Saturday night",Bets!$U$2:$U$506,"Unknown")</f>
        <v/>
      </c>
      <c r="I28" s="9">
        <f>IF(D28+E28=0,"",D28/(D28+E28))</f>
        <v/>
      </c>
      <c r="J28" s="10">
        <f>SUMIFS(Bets!$Q$2:$Q$506,Bets!$A$2:$A$506,"&lt;&gt;",Bets!$B$2:$B$506,"Steve",Bets!$I$2:$I$506,"CFB Saturday night")</f>
        <v/>
      </c>
      <c r="K28" s="10">
        <f>SUMIFS(Bets!$AC$2:$AC$506,Bets!$A$2:$A$506,"&lt;&gt;",Bets!$B$2:$B$506,"Steve",Bets!$I$2:$I$506,"CFB Saturday night")</f>
        <v/>
      </c>
      <c r="L28" s="11">
        <f>SUMIFS(Bets!$V$2:$V$506,Bets!$A$2:$A$506,"&lt;&gt;",Bets!$B$2:$B$506,"Steve",Bets!$I$2:$I$506,"CFB Saturday night")</f>
        <v/>
      </c>
      <c r="M28" s="12">
        <f>IF(K28=0,"",L28/K28)</f>
        <v/>
      </c>
      <c r="N28" s="13">
        <f>SUMIFS(Bets!$AD$2:$AD$506,Bets!$A$2:$A$506,"&lt;&gt;",Bets!$B$2:$B$506,"Steve",Bets!$I$2:$I$506,"CFB Saturday night")</f>
        <v/>
      </c>
      <c r="O28" s="14">
        <f>SUMIFS(Bets!$W$2:$W$506,Bets!$A$2:$A$506,"&lt;&gt;",Bets!$B$2:$B$506,"Steve",Bets!$I$2:$I$506,"CFB Saturday night")</f>
        <v/>
      </c>
      <c r="P28" s="12">
        <f>IF(N28=0,"",O28/N28)</f>
        <v/>
      </c>
    </row>
    <row r="29">
      <c r="A29" t="inlineStr">
        <is>
          <t>Steve (@stevewilldoit)</t>
        </is>
      </c>
      <c r="B29" t="inlineStr">
        <is>
          <t>CFB weeknight (Tue-Fri)</t>
        </is>
      </c>
      <c r="C29">
        <f>COUNTIFS(Bets!$A$2:$A$506,"&lt;&gt;",Bets!$B$2:$B$506,"Steve",Bets!$I$2:$I$506,"CFB weeknight (Tue-Fri)")</f>
        <v/>
      </c>
      <c r="D29">
        <f>COUNTIFS(Bets!$A$2:$A$506,"&lt;&gt;",Bets!$B$2:$B$506,"Steve",Bets!$I$2:$I$506,"CFB weeknight (Tue-Fri)",Bets!$U$2:$U$506,"W")</f>
        <v/>
      </c>
      <c r="E29">
        <f>COUNTIFS(Bets!$A$2:$A$506,"&lt;&gt;",Bets!$B$2:$B$506,"Steve",Bets!$I$2:$I$506,"CFB weeknight (Tue-Fri)",Bets!$U$2:$U$506,"L")</f>
        <v/>
      </c>
      <c r="F29">
        <f>COUNTIFS(Bets!$A$2:$A$506,"&lt;&gt;",Bets!$B$2:$B$506,"Steve",Bets!$I$2:$I$506,"CFB weeknight (Tue-Fri)",Bets!$U$2:$U$506,"Push")</f>
        <v/>
      </c>
      <c r="G29">
        <f>COUNTIFS(Bets!$A$2:$A$506,"&lt;&gt;",Bets!$B$2:$B$506,"Steve",Bets!$I$2:$I$506,"CFB weeknight (Tue-Fri)",Bets!$U$2:$U$506,"Pending")</f>
        <v/>
      </c>
      <c r="H29">
        <f>COUNTIFS(Bets!$A$2:$A$506,"&lt;&gt;",Bets!$B$2:$B$506,"Steve",Bets!$I$2:$I$506,"CFB weeknight (Tue-Fri)",Bets!$U$2:$U$506,"Unknown")</f>
        <v/>
      </c>
      <c r="I29" s="9">
        <f>IF(D29+E29=0,"",D29/(D29+E29))</f>
        <v/>
      </c>
      <c r="J29" s="10">
        <f>SUMIFS(Bets!$Q$2:$Q$506,Bets!$A$2:$A$506,"&lt;&gt;",Bets!$B$2:$B$506,"Steve",Bets!$I$2:$I$506,"CFB weeknight (Tue-Fri)")</f>
        <v/>
      </c>
      <c r="K29" s="10">
        <f>SUMIFS(Bets!$AC$2:$AC$506,Bets!$A$2:$A$506,"&lt;&gt;",Bets!$B$2:$B$506,"Steve",Bets!$I$2:$I$506,"CFB weeknight (Tue-Fri)")</f>
        <v/>
      </c>
      <c r="L29" s="11">
        <f>SUMIFS(Bets!$V$2:$V$506,Bets!$A$2:$A$506,"&lt;&gt;",Bets!$B$2:$B$506,"Steve",Bets!$I$2:$I$506,"CFB weeknight (Tue-Fri)")</f>
        <v/>
      </c>
      <c r="M29" s="12">
        <f>IF(K29=0,"",L29/K29)</f>
        <v/>
      </c>
      <c r="N29" s="13">
        <f>SUMIFS(Bets!$AD$2:$AD$506,Bets!$A$2:$A$506,"&lt;&gt;",Bets!$B$2:$B$506,"Steve",Bets!$I$2:$I$506,"CFB weeknight (Tue-Fri)")</f>
        <v/>
      </c>
      <c r="O29" s="14">
        <f>SUMIFS(Bets!$W$2:$W$506,Bets!$A$2:$A$506,"&lt;&gt;",Bets!$B$2:$B$506,"Steve",Bets!$I$2:$I$506,"CFB weeknight (Tue-Fri)")</f>
        <v/>
      </c>
      <c r="P29" s="12">
        <f>IF(N29=0,"",O29/N29)</f>
        <v/>
      </c>
    </row>
    <row r="30">
      <c r="A30" t="inlineStr">
        <is>
          <t>Steve (@stevewilldoit)</t>
        </is>
      </c>
      <c r="B30" t="inlineStr">
        <is>
          <t>kickoff not matched</t>
        </is>
      </c>
      <c r="C30">
        <f>COUNTIFS(Bets!$A$2:$A$506,"&lt;&gt;",Bets!$B$2:$B$506,"Steve",Bets!$I$2:$I$506,"kickoff not matched")</f>
        <v/>
      </c>
      <c r="D30">
        <f>COUNTIFS(Bets!$A$2:$A$506,"&lt;&gt;",Bets!$B$2:$B$506,"Steve",Bets!$I$2:$I$506,"kickoff not matched",Bets!$U$2:$U$506,"W")</f>
        <v/>
      </c>
      <c r="E30">
        <f>COUNTIFS(Bets!$A$2:$A$506,"&lt;&gt;",Bets!$B$2:$B$506,"Steve",Bets!$I$2:$I$506,"kickoff not matched",Bets!$U$2:$U$506,"L")</f>
        <v/>
      </c>
      <c r="F30">
        <f>COUNTIFS(Bets!$A$2:$A$506,"&lt;&gt;",Bets!$B$2:$B$506,"Steve",Bets!$I$2:$I$506,"kickoff not matched",Bets!$U$2:$U$506,"Push")</f>
        <v/>
      </c>
      <c r="G30">
        <f>COUNTIFS(Bets!$A$2:$A$506,"&lt;&gt;",Bets!$B$2:$B$506,"Steve",Bets!$I$2:$I$506,"kickoff not matched",Bets!$U$2:$U$506,"Pending")</f>
        <v/>
      </c>
      <c r="H30">
        <f>COUNTIFS(Bets!$A$2:$A$506,"&lt;&gt;",Bets!$B$2:$B$506,"Steve",Bets!$I$2:$I$506,"kickoff not matched",Bets!$U$2:$U$506,"Unknown")</f>
        <v/>
      </c>
      <c r="I30" s="9">
        <f>IF(D30+E30=0,"",D30/(D30+E30))</f>
        <v/>
      </c>
      <c r="J30" s="10">
        <f>SUMIFS(Bets!$Q$2:$Q$506,Bets!$A$2:$A$506,"&lt;&gt;",Bets!$B$2:$B$506,"Steve",Bets!$I$2:$I$506,"kickoff not matched")</f>
        <v/>
      </c>
      <c r="K30" s="10">
        <f>SUMIFS(Bets!$AC$2:$AC$506,Bets!$A$2:$A$506,"&lt;&gt;",Bets!$B$2:$B$506,"Steve",Bets!$I$2:$I$506,"kickoff not matched")</f>
        <v/>
      </c>
      <c r="L30" s="11">
        <f>SUMIFS(Bets!$V$2:$V$506,Bets!$A$2:$A$506,"&lt;&gt;",Bets!$B$2:$B$506,"Steve",Bets!$I$2:$I$506,"kickoff not matched")</f>
        <v/>
      </c>
      <c r="M30" s="12">
        <f>IF(K30=0,"",L30/K30)</f>
        <v/>
      </c>
      <c r="N30" s="13">
        <f>SUMIFS(Bets!$AD$2:$AD$506,Bets!$A$2:$A$506,"&lt;&gt;",Bets!$B$2:$B$506,"Steve",Bets!$I$2:$I$506,"kickoff not matched")</f>
        <v/>
      </c>
      <c r="O30" s="14">
        <f>SUMIFS(Bets!$W$2:$W$506,Bets!$A$2:$A$506,"&lt;&gt;",Bets!$B$2:$B$506,"Steve",Bets!$I$2:$I$506,"kickoff not matched")</f>
        <v/>
      </c>
      <c r="P30" s="12">
        <f>IF(N30=0,"",O30/N30)</f>
        <v/>
      </c>
    </row>
    <row r="31">
      <c r="A31" t="inlineStr">
        <is>
          <t>Combined</t>
        </is>
      </c>
      <c r="B31" t="inlineStr">
        <is>
          <t>TNF</t>
        </is>
      </c>
      <c r="C31">
        <f>COUNTIFS(Bets!$A$2:$A$506,"&lt;&gt;",Bets!$B$2:$B$506,"*",Bets!$I$2:$I$506,"TNF")</f>
        <v/>
      </c>
      <c r="D31">
        <f>COUNTIFS(Bets!$A$2:$A$506,"&lt;&gt;",Bets!$B$2:$B$506,"*",Bets!$I$2:$I$506,"TNF",Bets!$U$2:$U$506,"W")</f>
        <v/>
      </c>
      <c r="E31">
        <f>COUNTIFS(Bets!$A$2:$A$506,"&lt;&gt;",Bets!$B$2:$B$506,"*",Bets!$I$2:$I$506,"TNF",Bets!$U$2:$U$506,"L")</f>
        <v/>
      </c>
      <c r="F31">
        <f>COUNTIFS(Bets!$A$2:$A$506,"&lt;&gt;",Bets!$B$2:$B$506,"*",Bets!$I$2:$I$506,"TNF",Bets!$U$2:$U$506,"Push")</f>
        <v/>
      </c>
      <c r="G31">
        <f>COUNTIFS(Bets!$A$2:$A$506,"&lt;&gt;",Bets!$B$2:$B$506,"*",Bets!$I$2:$I$506,"TNF",Bets!$U$2:$U$506,"Pending")</f>
        <v/>
      </c>
      <c r="H31">
        <f>COUNTIFS(Bets!$A$2:$A$506,"&lt;&gt;",Bets!$B$2:$B$506,"*",Bets!$I$2:$I$506,"TNF",Bets!$U$2:$U$506,"Unknown")</f>
        <v/>
      </c>
      <c r="I31" s="9">
        <f>IF(D31+E31=0,"",D31/(D31+E31))</f>
        <v/>
      </c>
      <c r="J31" s="10">
        <f>SUMIFS(Bets!$Q$2:$Q$506,Bets!$A$2:$A$506,"&lt;&gt;",Bets!$B$2:$B$506,"*",Bets!$I$2:$I$506,"TNF")</f>
        <v/>
      </c>
      <c r="K31" s="10">
        <f>SUMIFS(Bets!$AC$2:$AC$506,Bets!$A$2:$A$506,"&lt;&gt;",Bets!$B$2:$B$506,"*",Bets!$I$2:$I$506,"TNF")</f>
        <v/>
      </c>
      <c r="L31" s="11">
        <f>SUMIFS(Bets!$V$2:$V$506,Bets!$A$2:$A$506,"&lt;&gt;",Bets!$B$2:$B$506,"*",Bets!$I$2:$I$506,"TNF")</f>
        <v/>
      </c>
      <c r="M31" s="12">
        <f>IF(K31=0,"",L31/K31)</f>
        <v/>
      </c>
      <c r="N31" s="13">
        <f>SUMIFS(Bets!$AD$2:$AD$506,Bets!$A$2:$A$506,"&lt;&gt;",Bets!$B$2:$B$506,"*",Bets!$I$2:$I$506,"TNF")</f>
        <v/>
      </c>
      <c r="O31" s="14">
        <f>SUMIFS(Bets!$W$2:$W$506,Bets!$A$2:$A$506,"&lt;&gt;",Bets!$B$2:$B$506,"*",Bets!$I$2:$I$506,"TNF")</f>
        <v/>
      </c>
      <c r="P31" s="12">
        <f>IF(N31=0,"",O31/N31)</f>
        <v/>
      </c>
    </row>
    <row r="32">
      <c r="A32" t="inlineStr">
        <is>
          <t>Combined</t>
        </is>
      </c>
      <c r="B32" t="inlineStr">
        <is>
          <t>SNF</t>
        </is>
      </c>
      <c r="C32">
        <f>COUNTIFS(Bets!$A$2:$A$506,"&lt;&gt;",Bets!$B$2:$B$506,"*",Bets!$I$2:$I$506,"SNF")</f>
        <v/>
      </c>
      <c r="D32">
        <f>COUNTIFS(Bets!$A$2:$A$506,"&lt;&gt;",Bets!$B$2:$B$506,"*",Bets!$I$2:$I$506,"SNF",Bets!$U$2:$U$506,"W")</f>
        <v/>
      </c>
      <c r="E32">
        <f>COUNTIFS(Bets!$A$2:$A$506,"&lt;&gt;",Bets!$B$2:$B$506,"*",Bets!$I$2:$I$506,"SNF",Bets!$U$2:$U$506,"L")</f>
        <v/>
      </c>
      <c r="F32">
        <f>COUNTIFS(Bets!$A$2:$A$506,"&lt;&gt;",Bets!$B$2:$B$506,"*",Bets!$I$2:$I$506,"SNF",Bets!$U$2:$U$506,"Push")</f>
        <v/>
      </c>
      <c r="G32">
        <f>COUNTIFS(Bets!$A$2:$A$506,"&lt;&gt;",Bets!$B$2:$B$506,"*",Bets!$I$2:$I$506,"SNF",Bets!$U$2:$U$506,"Pending")</f>
        <v/>
      </c>
      <c r="H32">
        <f>COUNTIFS(Bets!$A$2:$A$506,"&lt;&gt;",Bets!$B$2:$B$506,"*",Bets!$I$2:$I$506,"SNF",Bets!$U$2:$U$506,"Unknown")</f>
        <v/>
      </c>
      <c r="I32" s="9">
        <f>IF(D32+E32=0,"",D32/(D32+E32))</f>
        <v/>
      </c>
      <c r="J32" s="10">
        <f>SUMIFS(Bets!$Q$2:$Q$506,Bets!$A$2:$A$506,"&lt;&gt;",Bets!$B$2:$B$506,"*",Bets!$I$2:$I$506,"SNF")</f>
        <v/>
      </c>
      <c r="K32" s="10">
        <f>SUMIFS(Bets!$AC$2:$AC$506,Bets!$A$2:$A$506,"&lt;&gt;",Bets!$B$2:$B$506,"*",Bets!$I$2:$I$506,"SNF")</f>
        <v/>
      </c>
      <c r="L32" s="11">
        <f>SUMIFS(Bets!$V$2:$V$506,Bets!$A$2:$A$506,"&lt;&gt;",Bets!$B$2:$B$506,"*",Bets!$I$2:$I$506,"SNF")</f>
        <v/>
      </c>
      <c r="M32" s="12">
        <f>IF(K32=0,"",L32/K32)</f>
        <v/>
      </c>
      <c r="N32" s="13">
        <f>SUMIFS(Bets!$AD$2:$AD$506,Bets!$A$2:$A$506,"&lt;&gt;",Bets!$B$2:$B$506,"*",Bets!$I$2:$I$506,"SNF")</f>
        <v/>
      </c>
      <c r="O32" s="14">
        <f>SUMIFS(Bets!$W$2:$W$506,Bets!$A$2:$A$506,"&lt;&gt;",Bets!$B$2:$B$506,"*",Bets!$I$2:$I$506,"SNF")</f>
        <v/>
      </c>
      <c r="P32" s="12">
        <f>IF(N32=0,"",O32/N32)</f>
        <v/>
      </c>
    </row>
    <row r="33">
      <c r="A33" t="inlineStr">
        <is>
          <t>Combined</t>
        </is>
      </c>
      <c r="B33" t="inlineStr">
        <is>
          <t>MNF</t>
        </is>
      </c>
      <c r="C33">
        <f>COUNTIFS(Bets!$A$2:$A$506,"&lt;&gt;",Bets!$B$2:$B$506,"*",Bets!$I$2:$I$506,"MNF")</f>
        <v/>
      </c>
      <c r="D33">
        <f>COUNTIFS(Bets!$A$2:$A$506,"&lt;&gt;",Bets!$B$2:$B$506,"*",Bets!$I$2:$I$506,"MNF",Bets!$U$2:$U$506,"W")</f>
        <v/>
      </c>
      <c r="E33">
        <f>COUNTIFS(Bets!$A$2:$A$506,"&lt;&gt;",Bets!$B$2:$B$506,"*",Bets!$I$2:$I$506,"MNF",Bets!$U$2:$U$506,"L")</f>
        <v/>
      </c>
      <c r="F33">
        <f>COUNTIFS(Bets!$A$2:$A$506,"&lt;&gt;",Bets!$B$2:$B$506,"*",Bets!$I$2:$I$506,"MNF",Bets!$U$2:$U$506,"Push")</f>
        <v/>
      </c>
      <c r="G33">
        <f>COUNTIFS(Bets!$A$2:$A$506,"&lt;&gt;",Bets!$B$2:$B$506,"*",Bets!$I$2:$I$506,"MNF",Bets!$U$2:$U$506,"Pending")</f>
        <v/>
      </c>
      <c r="H33">
        <f>COUNTIFS(Bets!$A$2:$A$506,"&lt;&gt;",Bets!$B$2:$B$506,"*",Bets!$I$2:$I$506,"MNF",Bets!$U$2:$U$506,"Unknown")</f>
        <v/>
      </c>
      <c r="I33" s="9">
        <f>IF(D33+E33=0,"",D33/(D33+E33))</f>
        <v/>
      </c>
      <c r="J33" s="10">
        <f>SUMIFS(Bets!$Q$2:$Q$506,Bets!$A$2:$A$506,"&lt;&gt;",Bets!$B$2:$B$506,"*",Bets!$I$2:$I$506,"MNF")</f>
        <v/>
      </c>
      <c r="K33" s="10">
        <f>SUMIFS(Bets!$AC$2:$AC$506,Bets!$A$2:$A$506,"&lt;&gt;",Bets!$B$2:$B$506,"*",Bets!$I$2:$I$506,"MNF")</f>
        <v/>
      </c>
      <c r="L33" s="11">
        <f>SUMIFS(Bets!$V$2:$V$506,Bets!$A$2:$A$506,"&lt;&gt;",Bets!$B$2:$B$506,"*",Bets!$I$2:$I$506,"MNF")</f>
        <v/>
      </c>
      <c r="M33" s="12">
        <f>IF(K33=0,"",L33/K33)</f>
        <v/>
      </c>
      <c r="N33" s="13">
        <f>SUMIFS(Bets!$AD$2:$AD$506,Bets!$A$2:$A$506,"&lt;&gt;",Bets!$B$2:$B$506,"*",Bets!$I$2:$I$506,"MNF")</f>
        <v/>
      </c>
      <c r="O33" s="14">
        <f>SUMIFS(Bets!$W$2:$W$506,Bets!$A$2:$A$506,"&lt;&gt;",Bets!$B$2:$B$506,"*",Bets!$I$2:$I$506,"MNF")</f>
        <v/>
      </c>
      <c r="P33" s="12">
        <f>IF(N33=0,"",O33/N33)</f>
        <v/>
      </c>
    </row>
    <row r="34">
      <c r="A34" t="inlineStr">
        <is>
          <t>Combined</t>
        </is>
      </c>
      <c r="B34" t="inlineStr">
        <is>
          <t>NFL primetime (other day)</t>
        </is>
      </c>
      <c r="C34">
        <f>COUNTIFS(Bets!$A$2:$A$506,"&lt;&gt;",Bets!$B$2:$B$506,"*",Bets!$I$2:$I$506,"NFL primetime (other day)")</f>
        <v/>
      </c>
      <c r="D34">
        <f>COUNTIFS(Bets!$A$2:$A$506,"&lt;&gt;",Bets!$B$2:$B$506,"*",Bets!$I$2:$I$506,"NFL primetime (other day)",Bets!$U$2:$U$506,"W")</f>
        <v/>
      </c>
      <c r="E34">
        <f>COUNTIFS(Bets!$A$2:$A$506,"&lt;&gt;",Bets!$B$2:$B$506,"*",Bets!$I$2:$I$506,"NFL primetime (other day)",Bets!$U$2:$U$506,"L")</f>
        <v/>
      </c>
      <c r="F34">
        <f>COUNTIFS(Bets!$A$2:$A$506,"&lt;&gt;",Bets!$B$2:$B$506,"*",Bets!$I$2:$I$506,"NFL primetime (other day)",Bets!$U$2:$U$506,"Push")</f>
        <v/>
      </c>
      <c r="G34">
        <f>COUNTIFS(Bets!$A$2:$A$506,"&lt;&gt;",Bets!$B$2:$B$506,"*",Bets!$I$2:$I$506,"NFL primetime (other day)",Bets!$U$2:$U$506,"Pending")</f>
        <v/>
      </c>
      <c r="H34">
        <f>COUNTIFS(Bets!$A$2:$A$506,"&lt;&gt;",Bets!$B$2:$B$506,"*",Bets!$I$2:$I$506,"NFL primetime (other day)",Bets!$U$2:$U$506,"Unknown")</f>
        <v/>
      </c>
      <c r="I34" s="9">
        <f>IF(D34+E34=0,"",D34/(D34+E34))</f>
        <v/>
      </c>
      <c r="J34" s="10">
        <f>SUMIFS(Bets!$Q$2:$Q$506,Bets!$A$2:$A$506,"&lt;&gt;",Bets!$B$2:$B$506,"*",Bets!$I$2:$I$506,"NFL primetime (other day)")</f>
        <v/>
      </c>
      <c r="K34" s="10">
        <f>SUMIFS(Bets!$AC$2:$AC$506,Bets!$A$2:$A$506,"&lt;&gt;",Bets!$B$2:$B$506,"*",Bets!$I$2:$I$506,"NFL primetime (other day)")</f>
        <v/>
      </c>
      <c r="L34" s="11">
        <f>SUMIFS(Bets!$V$2:$V$506,Bets!$A$2:$A$506,"&lt;&gt;",Bets!$B$2:$B$506,"*",Bets!$I$2:$I$506,"NFL primetime (other day)")</f>
        <v/>
      </c>
      <c r="M34" s="12">
        <f>IF(K34=0,"",L34/K34)</f>
        <v/>
      </c>
      <c r="N34" s="13">
        <f>SUMIFS(Bets!$AD$2:$AD$506,Bets!$A$2:$A$506,"&lt;&gt;",Bets!$B$2:$B$506,"*",Bets!$I$2:$I$506,"NFL primetime (other day)")</f>
        <v/>
      </c>
      <c r="O34" s="14">
        <f>SUMIFS(Bets!$W$2:$W$506,Bets!$A$2:$A$506,"&lt;&gt;",Bets!$B$2:$B$506,"*",Bets!$I$2:$I$506,"NFL primetime (other day)")</f>
        <v/>
      </c>
      <c r="P34" s="12">
        <f>IF(N34=0,"",O34/N34)</f>
        <v/>
      </c>
    </row>
    <row r="35">
      <c r="A35" t="inlineStr">
        <is>
          <t>Combined</t>
        </is>
      </c>
      <c r="B35" t="inlineStr">
        <is>
          <t>CFB Saturday night</t>
        </is>
      </c>
      <c r="C35">
        <f>COUNTIFS(Bets!$A$2:$A$506,"&lt;&gt;",Bets!$B$2:$B$506,"*",Bets!$I$2:$I$506,"CFB Saturday night")</f>
        <v/>
      </c>
      <c r="D35">
        <f>COUNTIFS(Bets!$A$2:$A$506,"&lt;&gt;",Bets!$B$2:$B$506,"*",Bets!$I$2:$I$506,"CFB Saturday night",Bets!$U$2:$U$506,"W")</f>
        <v/>
      </c>
      <c r="E35">
        <f>COUNTIFS(Bets!$A$2:$A$506,"&lt;&gt;",Bets!$B$2:$B$506,"*",Bets!$I$2:$I$506,"CFB Saturday night",Bets!$U$2:$U$506,"L")</f>
        <v/>
      </c>
      <c r="F35">
        <f>COUNTIFS(Bets!$A$2:$A$506,"&lt;&gt;",Bets!$B$2:$B$506,"*",Bets!$I$2:$I$506,"CFB Saturday night",Bets!$U$2:$U$506,"Push")</f>
        <v/>
      </c>
      <c r="G35">
        <f>COUNTIFS(Bets!$A$2:$A$506,"&lt;&gt;",Bets!$B$2:$B$506,"*",Bets!$I$2:$I$506,"CFB Saturday night",Bets!$U$2:$U$506,"Pending")</f>
        <v/>
      </c>
      <c r="H35">
        <f>COUNTIFS(Bets!$A$2:$A$506,"&lt;&gt;",Bets!$B$2:$B$506,"*",Bets!$I$2:$I$506,"CFB Saturday night",Bets!$U$2:$U$506,"Unknown")</f>
        <v/>
      </c>
      <c r="I35" s="9">
        <f>IF(D35+E35=0,"",D35/(D35+E35))</f>
        <v/>
      </c>
      <c r="J35" s="10">
        <f>SUMIFS(Bets!$Q$2:$Q$506,Bets!$A$2:$A$506,"&lt;&gt;",Bets!$B$2:$B$506,"*",Bets!$I$2:$I$506,"CFB Saturday night")</f>
        <v/>
      </c>
      <c r="K35" s="10">
        <f>SUMIFS(Bets!$AC$2:$AC$506,Bets!$A$2:$A$506,"&lt;&gt;",Bets!$B$2:$B$506,"*",Bets!$I$2:$I$506,"CFB Saturday night")</f>
        <v/>
      </c>
      <c r="L35" s="11">
        <f>SUMIFS(Bets!$V$2:$V$506,Bets!$A$2:$A$506,"&lt;&gt;",Bets!$B$2:$B$506,"*",Bets!$I$2:$I$506,"CFB Saturday night")</f>
        <v/>
      </c>
      <c r="M35" s="12">
        <f>IF(K35=0,"",L35/K35)</f>
        <v/>
      </c>
      <c r="N35" s="13">
        <f>SUMIFS(Bets!$AD$2:$AD$506,Bets!$A$2:$A$506,"&lt;&gt;",Bets!$B$2:$B$506,"*",Bets!$I$2:$I$506,"CFB Saturday night")</f>
        <v/>
      </c>
      <c r="O35" s="14">
        <f>SUMIFS(Bets!$W$2:$W$506,Bets!$A$2:$A$506,"&lt;&gt;",Bets!$B$2:$B$506,"*",Bets!$I$2:$I$506,"CFB Saturday night")</f>
        <v/>
      </c>
      <c r="P35" s="12">
        <f>IF(N35=0,"",O35/N35)</f>
        <v/>
      </c>
    </row>
    <row r="36">
      <c r="A36" t="inlineStr">
        <is>
          <t>Combined</t>
        </is>
      </c>
      <c r="B36" t="inlineStr">
        <is>
          <t>CFB weeknight (Tue-Fri)</t>
        </is>
      </c>
      <c r="C36">
        <f>COUNTIFS(Bets!$A$2:$A$506,"&lt;&gt;",Bets!$B$2:$B$506,"*",Bets!$I$2:$I$506,"CFB weeknight (Tue-Fri)")</f>
        <v/>
      </c>
      <c r="D36">
        <f>COUNTIFS(Bets!$A$2:$A$506,"&lt;&gt;",Bets!$B$2:$B$506,"*",Bets!$I$2:$I$506,"CFB weeknight (Tue-Fri)",Bets!$U$2:$U$506,"W")</f>
        <v/>
      </c>
      <c r="E36">
        <f>COUNTIFS(Bets!$A$2:$A$506,"&lt;&gt;",Bets!$B$2:$B$506,"*",Bets!$I$2:$I$506,"CFB weeknight (Tue-Fri)",Bets!$U$2:$U$506,"L")</f>
        <v/>
      </c>
      <c r="F36">
        <f>COUNTIFS(Bets!$A$2:$A$506,"&lt;&gt;",Bets!$B$2:$B$506,"*",Bets!$I$2:$I$506,"CFB weeknight (Tue-Fri)",Bets!$U$2:$U$506,"Push")</f>
        <v/>
      </c>
      <c r="G36">
        <f>COUNTIFS(Bets!$A$2:$A$506,"&lt;&gt;",Bets!$B$2:$B$506,"*",Bets!$I$2:$I$506,"CFB weeknight (Tue-Fri)",Bets!$U$2:$U$506,"Pending")</f>
        <v/>
      </c>
      <c r="H36">
        <f>COUNTIFS(Bets!$A$2:$A$506,"&lt;&gt;",Bets!$B$2:$B$506,"*",Bets!$I$2:$I$506,"CFB weeknight (Tue-Fri)",Bets!$U$2:$U$506,"Unknown")</f>
        <v/>
      </c>
      <c r="I36" s="9">
        <f>IF(D36+E36=0,"",D36/(D36+E36))</f>
        <v/>
      </c>
      <c r="J36" s="10">
        <f>SUMIFS(Bets!$Q$2:$Q$506,Bets!$A$2:$A$506,"&lt;&gt;",Bets!$B$2:$B$506,"*",Bets!$I$2:$I$506,"CFB weeknight (Tue-Fri)")</f>
        <v/>
      </c>
      <c r="K36" s="10">
        <f>SUMIFS(Bets!$AC$2:$AC$506,Bets!$A$2:$A$506,"&lt;&gt;",Bets!$B$2:$B$506,"*",Bets!$I$2:$I$506,"CFB weeknight (Tue-Fri)")</f>
        <v/>
      </c>
      <c r="L36" s="11">
        <f>SUMIFS(Bets!$V$2:$V$506,Bets!$A$2:$A$506,"&lt;&gt;",Bets!$B$2:$B$506,"*",Bets!$I$2:$I$506,"CFB weeknight (Tue-Fri)")</f>
        <v/>
      </c>
      <c r="M36" s="12">
        <f>IF(K36=0,"",L36/K36)</f>
        <v/>
      </c>
      <c r="N36" s="13">
        <f>SUMIFS(Bets!$AD$2:$AD$506,Bets!$A$2:$A$506,"&lt;&gt;",Bets!$B$2:$B$506,"*",Bets!$I$2:$I$506,"CFB weeknight (Tue-Fri)")</f>
        <v/>
      </c>
      <c r="O36" s="14">
        <f>SUMIFS(Bets!$W$2:$W$506,Bets!$A$2:$A$506,"&lt;&gt;",Bets!$B$2:$B$506,"*",Bets!$I$2:$I$506,"CFB weeknight (Tue-Fri)")</f>
        <v/>
      </c>
      <c r="P36" s="12">
        <f>IF(N36=0,"",O36/N36)</f>
        <v/>
      </c>
    </row>
    <row r="37">
      <c r="A37" t="inlineStr">
        <is>
          <t>Combined</t>
        </is>
      </c>
      <c r="B37" t="inlineStr">
        <is>
          <t>kickoff not matched</t>
        </is>
      </c>
      <c r="C37">
        <f>COUNTIFS(Bets!$A$2:$A$506,"&lt;&gt;",Bets!$B$2:$B$506,"*",Bets!$I$2:$I$506,"kickoff not matched")</f>
        <v/>
      </c>
      <c r="D37">
        <f>COUNTIFS(Bets!$A$2:$A$506,"&lt;&gt;",Bets!$B$2:$B$506,"*",Bets!$I$2:$I$506,"kickoff not matched",Bets!$U$2:$U$506,"W")</f>
        <v/>
      </c>
      <c r="E37">
        <f>COUNTIFS(Bets!$A$2:$A$506,"&lt;&gt;",Bets!$B$2:$B$506,"*",Bets!$I$2:$I$506,"kickoff not matched",Bets!$U$2:$U$506,"L")</f>
        <v/>
      </c>
      <c r="F37">
        <f>COUNTIFS(Bets!$A$2:$A$506,"&lt;&gt;",Bets!$B$2:$B$506,"*",Bets!$I$2:$I$506,"kickoff not matched",Bets!$U$2:$U$506,"Push")</f>
        <v/>
      </c>
      <c r="G37">
        <f>COUNTIFS(Bets!$A$2:$A$506,"&lt;&gt;",Bets!$B$2:$B$506,"*",Bets!$I$2:$I$506,"kickoff not matched",Bets!$U$2:$U$506,"Pending")</f>
        <v/>
      </c>
      <c r="H37">
        <f>COUNTIFS(Bets!$A$2:$A$506,"&lt;&gt;",Bets!$B$2:$B$506,"*",Bets!$I$2:$I$506,"kickoff not matched",Bets!$U$2:$U$506,"Unknown")</f>
        <v/>
      </c>
      <c r="I37" s="9">
        <f>IF(D37+E37=0,"",D37/(D37+E37))</f>
        <v/>
      </c>
      <c r="J37" s="10">
        <f>SUMIFS(Bets!$Q$2:$Q$506,Bets!$A$2:$A$506,"&lt;&gt;",Bets!$B$2:$B$506,"*",Bets!$I$2:$I$506,"kickoff not matched")</f>
        <v/>
      </c>
      <c r="K37" s="10">
        <f>SUMIFS(Bets!$AC$2:$AC$506,Bets!$A$2:$A$506,"&lt;&gt;",Bets!$B$2:$B$506,"*",Bets!$I$2:$I$506,"kickoff not matched")</f>
        <v/>
      </c>
      <c r="L37" s="11">
        <f>SUMIFS(Bets!$V$2:$V$506,Bets!$A$2:$A$506,"&lt;&gt;",Bets!$B$2:$B$506,"*",Bets!$I$2:$I$506,"kickoff not matched")</f>
        <v/>
      </c>
      <c r="M37" s="12">
        <f>IF(K37=0,"",L37/K37)</f>
        <v/>
      </c>
      <c r="N37" s="13">
        <f>SUMIFS(Bets!$AD$2:$AD$506,Bets!$A$2:$A$506,"&lt;&gt;",Bets!$B$2:$B$506,"*",Bets!$I$2:$I$506,"kickoff not matched")</f>
        <v/>
      </c>
      <c r="O37" s="14">
        <f>SUMIFS(Bets!$W$2:$W$506,Bets!$A$2:$A$506,"&lt;&gt;",Bets!$B$2:$B$506,"*",Bets!$I$2:$I$506,"kickoff not matched")</f>
        <v/>
      </c>
      <c r="P37" s="12">
        <f>IF(N37=0,"",O37/N37)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6" t="inlineStr">
        <is>
          <t>By GAME day of week (formula helper uses WEEKDAY of Game date)</t>
        </is>
      </c>
    </row>
    <row r="3">
      <c r="A3" s="7" t="inlineStr">
        <is>
          <t>Trent (@BookitWithTrent)</t>
        </is>
      </c>
    </row>
    <row r="4">
      <c r="A4" s="8" t="inlineStr">
        <is>
          <t>Bettor</t>
        </is>
      </c>
      <c r="B4" s="8" t="inlineStr">
        <is>
          <t>Game day</t>
        </is>
      </c>
      <c r="C4" s="8" t="inlineStr">
        <is>
          <t>Bets</t>
        </is>
      </c>
      <c r="D4" s="8" t="inlineStr">
        <is>
          <t>W</t>
        </is>
      </c>
      <c r="E4" s="8" t="inlineStr">
        <is>
          <t>L</t>
        </is>
      </c>
      <c r="F4" s="8" t="inlineStr">
        <is>
          <t>Push</t>
        </is>
      </c>
      <c r="G4" s="8" t="inlineStr">
        <is>
          <t>Pending</t>
        </is>
      </c>
      <c r="H4" s="8" t="inlineStr">
        <is>
          <t>Unknown</t>
        </is>
      </c>
      <c r="I4" s="8" t="inlineStr">
        <is>
          <t>Win % (W/(W+L))</t>
        </is>
      </c>
      <c r="J4" s="8" t="inlineStr">
        <is>
          <t>Total staked $ (all $ bets)</t>
        </is>
      </c>
      <c r="K4" s="8" t="inlineStr">
        <is>
          <t>Settled staked $</t>
        </is>
      </c>
      <c r="L4" s="8" t="inlineStr">
        <is>
          <t>Net P/L $</t>
        </is>
      </c>
      <c r="M4" s="8" t="inlineStr">
        <is>
          <t>ROI (net / settled $)</t>
        </is>
      </c>
      <c r="N4" s="8" t="inlineStr">
        <is>
          <t>Units staked (settled)</t>
        </is>
      </c>
      <c r="O4" s="8" t="inlineStr">
        <is>
          <t>Net units</t>
        </is>
      </c>
      <c r="P4" s="8" t="inlineStr">
        <is>
          <t>ROI (units)</t>
        </is>
      </c>
    </row>
    <row r="5">
      <c r="A5" t="inlineStr">
        <is>
          <t>Trent (@BookitWithTrent)</t>
        </is>
      </c>
      <c r="B5" t="inlineStr">
        <is>
          <t>Monday</t>
        </is>
      </c>
      <c r="C5">
        <f>COUNTIFS(Bets!$A$2:$A$506,"&lt;&gt;",Bets!$B$2:$B$506,"Trent",Bets!$F$2:$F$506,"Monday")</f>
        <v/>
      </c>
      <c r="D5">
        <f>COUNTIFS(Bets!$A$2:$A$506,"&lt;&gt;",Bets!$B$2:$B$506,"Trent",Bets!$F$2:$F$506,"Monday",Bets!$U$2:$U$506,"W")</f>
        <v/>
      </c>
      <c r="E5">
        <f>COUNTIFS(Bets!$A$2:$A$506,"&lt;&gt;",Bets!$B$2:$B$506,"Trent",Bets!$F$2:$F$506,"Monday",Bets!$U$2:$U$506,"L")</f>
        <v/>
      </c>
      <c r="F5">
        <f>COUNTIFS(Bets!$A$2:$A$506,"&lt;&gt;",Bets!$B$2:$B$506,"Trent",Bets!$F$2:$F$506,"Monday",Bets!$U$2:$U$506,"Push")</f>
        <v/>
      </c>
      <c r="G5">
        <f>COUNTIFS(Bets!$A$2:$A$506,"&lt;&gt;",Bets!$B$2:$B$506,"Trent",Bets!$F$2:$F$506,"Monday",Bets!$U$2:$U$506,"Pending")</f>
        <v/>
      </c>
      <c r="H5">
        <f>COUNTIFS(Bets!$A$2:$A$506,"&lt;&gt;",Bets!$B$2:$B$506,"Trent",Bets!$F$2:$F$506,"Monday",Bets!$U$2:$U$506,"Unknown")</f>
        <v/>
      </c>
      <c r="I5" s="9">
        <f>IF(D5+E5=0,"",D5/(D5+E5))</f>
        <v/>
      </c>
      <c r="J5" s="10">
        <f>SUMIFS(Bets!$Q$2:$Q$506,Bets!$A$2:$A$506,"&lt;&gt;",Bets!$B$2:$B$506,"Trent",Bets!$F$2:$F$506,"Monday")</f>
        <v/>
      </c>
      <c r="K5" s="10">
        <f>SUMIFS(Bets!$AC$2:$AC$506,Bets!$A$2:$A$506,"&lt;&gt;",Bets!$B$2:$B$506,"Trent",Bets!$F$2:$F$506,"Monday")</f>
        <v/>
      </c>
      <c r="L5" s="11">
        <f>SUMIFS(Bets!$V$2:$V$506,Bets!$A$2:$A$506,"&lt;&gt;",Bets!$B$2:$B$506,"Trent",Bets!$F$2:$F$506,"Monday")</f>
        <v/>
      </c>
      <c r="M5" s="12">
        <f>IF(K5=0,"",L5/K5)</f>
        <v/>
      </c>
      <c r="N5" s="13">
        <f>SUMIFS(Bets!$AD$2:$AD$506,Bets!$A$2:$A$506,"&lt;&gt;",Bets!$B$2:$B$506,"Trent",Bets!$F$2:$F$506,"Monday")</f>
        <v/>
      </c>
      <c r="O5" s="14">
        <f>SUMIFS(Bets!$W$2:$W$506,Bets!$A$2:$A$506,"&lt;&gt;",Bets!$B$2:$B$506,"Trent",Bets!$F$2:$F$506,"Monday")</f>
        <v/>
      </c>
      <c r="P5" s="12">
        <f>IF(N5=0,"",O5/N5)</f>
        <v/>
      </c>
    </row>
    <row r="6">
      <c r="A6" t="inlineStr">
        <is>
          <t>Trent (@BookitWithTrent)</t>
        </is>
      </c>
      <c r="B6" t="inlineStr">
        <is>
          <t>Tuesday</t>
        </is>
      </c>
      <c r="C6">
        <f>COUNTIFS(Bets!$A$2:$A$506,"&lt;&gt;",Bets!$B$2:$B$506,"Trent",Bets!$F$2:$F$506,"Tuesday")</f>
        <v/>
      </c>
      <c r="D6">
        <f>COUNTIFS(Bets!$A$2:$A$506,"&lt;&gt;",Bets!$B$2:$B$506,"Trent",Bets!$F$2:$F$506,"Tuesday",Bets!$U$2:$U$506,"W")</f>
        <v/>
      </c>
      <c r="E6">
        <f>COUNTIFS(Bets!$A$2:$A$506,"&lt;&gt;",Bets!$B$2:$B$506,"Trent",Bets!$F$2:$F$506,"Tuesday",Bets!$U$2:$U$506,"L")</f>
        <v/>
      </c>
      <c r="F6">
        <f>COUNTIFS(Bets!$A$2:$A$506,"&lt;&gt;",Bets!$B$2:$B$506,"Trent",Bets!$F$2:$F$506,"Tuesday",Bets!$U$2:$U$506,"Push")</f>
        <v/>
      </c>
      <c r="G6">
        <f>COUNTIFS(Bets!$A$2:$A$506,"&lt;&gt;",Bets!$B$2:$B$506,"Trent",Bets!$F$2:$F$506,"Tuesday",Bets!$U$2:$U$506,"Pending")</f>
        <v/>
      </c>
      <c r="H6">
        <f>COUNTIFS(Bets!$A$2:$A$506,"&lt;&gt;",Bets!$B$2:$B$506,"Trent",Bets!$F$2:$F$506,"Tuesday",Bets!$U$2:$U$506,"Unknown")</f>
        <v/>
      </c>
      <c r="I6" s="9">
        <f>IF(D6+E6=0,"",D6/(D6+E6))</f>
        <v/>
      </c>
      <c r="J6" s="10">
        <f>SUMIFS(Bets!$Q$2:$Q$506,Bets!$A$2:$A$506,"&lt;&gt;",Bets!$B$2:$B$506,"Trent",Bets!$F$2:$F$506,"Tuesday")</f>
        <v/>
      </c>
      <c r="K6" s="10">
        <f>SUMIFS(Bets!$AC$2:$AC$506,Bets!$A$2:$A$506,"&lt;&gt;",Bets!$B$2:$B$506,"Trent",Bets!$F$2:$F$506,"Tuesday")</f>
        <v/>
      </c>
      <c r="L6" s="11">
        <f>SUMIFS(Bets!$V$2:$V$506,Bets!$A$2:$A$506,"&lt;&gt;",Bets!$B$2:$B$506,"Trent",Bets!$F$2:$F$506,"Tuesday")</f>
        <v/>
      </c>
      <c r="M6" s="12">
        <f>IF(K6=0,"",L6/K6)</f>
        <v/>
      </c>
      <c r="N6" s="13">
        <f>SUMIFS(Bets!$AD$2:$AD$506,Bets!$A$2:$A$506,"&lt;&gt;",Bets!$B$2:$B$506,"Trent",Bets!$F$2:$F$506,"Tuesday")</f>
        <v/>
      </c>
      <c r="O6" s="14">
        <f>SUMIFS(Bets!$W$2:$W$506,Bets!$A$2:$A$506,"&lt;&gt;",Bets!$B$2:$B$506,"Trent",Bets!$F$2:$F$506,"Tuesday")</f>
        <v/>
      </c>
      <c r="P6" s="12">
        <f>IF(N6=0,"",O6/N6)</f>
        <v/>
      </c>
    </row>
    <row r="7">
      <c r="A7" t="inlineStr">
        <is>
          <t>Trent (@BookitWithTrent)</t>
        </is>
      </c>
      <c r="B7" t="inlineStr">
        <is>
          <t>Wednesday</t>
        </is>
      </c>
      <c r="C7">
        <f>COUNTIFS(Bets!$A$2:$A$506,"&lt;&gt;",Bets!$B$2:$B$506,"Trent",Bets!$F$2:$F$506,"Wednesday")</f>
        <v/>
      </c>
      <c r="D7">
        <f>COUNTIFS(Bets!$A$2:$A$506,"&lt;&gt;",Bets!$B$2:$B$506,"Trent",Bets!$F$2:$F$506,"Wednesday",Bets!$U$2:$U$506,"W")</f>
        <v/>
      </c>
      <c r="E7">
        <f>COUNTIFS(Bets!$A$2:$A$506,"&lt;&gt;",Bets!$B$2:$B$506,"Trent",Bets!$F$2:$F$506,"Wednesday",Bets!$U$2:$U$506,"L")</f>
        <v/>
      </c>
      <c r="F7">
        <f>COUNTIFS(Bets!$A$2:$A$506,"&lt;&gt;",Bets!$B$2:$B$506,"Trent",Bets!$F$2:$F$506,"Wednesday",Bets!$U$2:$U$506,"Push")</f>
        <v/>
      </c>
      <c r="G7">
        <f>COUNTIFS(Bets!$A$2:$A$506,"&lt;&gt;",Bets!$B$2:$B$506,"Trent",Bets!$F$2:$F$506,"Wednesday",Bets!$U$2:$U$506,"Pending")</f>
        <v/>
      </c>
      <c r="H7">
        <f>COUNTIFS(Bets!$A$2:$A$506,"&lt;&gt;",Bets!$B$2:$B$506,"Trent",Bets!$F$2:$F$506,"Wednesday",Bets!$U$2:$U$506,"Unknown")</f>
        <v/>
      </c>
      <c r="I7" s="9">
        <f>IF(D7+E7=0,"",D7/(D7+E7))</f>
        <v/>
      </c>
      <c r="J7" s="10">
        <f>SUMIFS(Bets!$Q$2:$Q$506,Bets!$A$2:$A$506,"&lt;&gt;",Bets!$B$2:$B$506,"Trent",Bets!$F$2:$F$506,"Wednesday")</f>
        <v/>
      </c>
      <c r="K7" s="10">
        <f>SUMIFS(Bets!$AC$2:$AC$506,Bets!$A$2:$A$506,"&lt;&gt;",Bets!$B$2:$B$506,"Trent",Bets!$F$2:$F$506,"Wednesday")</f>
        <v/>
      </c>
      <c r="L7" s="11">
        <f>SUMIFS(Bets!$V$2:$V$506,Bets!$A$2:$A$506,"&lt;&gt;",Bets!$B$2:$B$506,"Trent",Bets!$F$2:$F$506,"Wednesday")</f>
        <v/>
      </c>
      <c r="M7" s="12">
        <f>IF(K7=0,"",L7/K7)</f>
        <v/>
      </c>
      <c r="N7" s="13">
        <f>SUMIFS(Bets!$AD$2:$AD$506,Bets!$A$2:$A$506,"&lt;&gt;",Bets!$B$2:$B$506,"Trent",Bets!$F$2:$F$506,"Wednesday")</f>
        <v/>
      </c>
      <c r="O7" s="14">
        <f>SUMIFS(Bets!$W$2:$W$506,Bets!$A$2:$A$506,"&lt;&gt;",Bets!$B$2:$B$506,"Trent",Bets!$F$2:$F$506,"Wednesday")</f>
        <v/>
      </c>
      <c r="P7" s="12">
        <f>IF(N7=0,"",O7/N7)</f>
        <v/>
      </c>
    </row>
    <row r="8">
      <c r="A8" t="inlineStr">
        <is>
          <t>Trent (@BookitWithTrent)</t>
        </is>
      </c>
      <c r="B8" t="inlineStr">
        <is>
          <t>Thursday</t>
        </is>
      </c>
      <c r="C8">
        <f>COUNTIFS(Bets!$A$2:$A$506,"&lt;&gt;",Bets!$B$2:$B$506,"Trent",Bets!$F$2:$F$506,"Thursday")</f>
        <v/>
      </c>
      <c r="D8">
        <f>COUNTIFS(Bets!$A$2:$A$506,"&lt;&gt;",Bets!$B$2:$B$506,"Trent",Bets!$F$2:$F$506,"Thursday",Bets!$U$2:$U$506,"W")</f>
        <v/>
      </c>
      <c r="E8">
        <f>COUNTIFS(Bets!$A$2:$A$506,"&lt;&gt;",Bets!$B$2:$B$506,"Trent",Bets!$F$2:$F$506,"Thursday",Bets!$U$2:$U$506,"L")</f>
        <v/>
      </c>
      <c r="F8">
        <f>COUNTIFS(Bets!$A$2:$A$506,"&lt;&gt;",Bets!$B$2:$B$506,"Trent",Bets!$F$2:$F$506,"Thursday",Bets!$U$2:$U$506,"Push")</f>
        <v/>
      </c>
      <c r="G8">
        <f>COUNTIFS(Bets!$A$2:$A$506,"&lt;&gt;",Bets!$B$2:$B$506,"Trent",Bets!$F$2:$F$506,"Thursday",Bets!$U$2:$U$506,"Pending")</f>
        <v/>
      </c>
      <c r="H8">
        <f>COUNTIFS(Bets!$A$2:$A$506,"&lt;&gt;",Bets!$B$2:$B$506,"Trent",Bets!$F$2:$F$506,"Thursday",Bets!$U$2:$U$506,"Unknown")</f>
        <v/>
      </c>
      <c r="I8" s="9">
        <f>IF(D8+E8=0,"",D8/(D8+E8))</f>
        <v/>
      </c>
      <c r="J8" s="10">
        <f>SUMIFS(Bets!$Q$2:$Q$506,Bets!$A$2:$A$506,"&lt;&gt;",Bets!$B$2:$B$506,"Trent",Bets!$F$2:$F$506,"Thursday")</f>
        <v/>
      </c>
      <c r="K8" s="10">
        <f>SUMIFS(Bets!$AC$2:$AC$506,Bets!$A$2:$A$506,"&lt;&gt;",Bets!$B$2:$B$506,"Trent",Bets!$F$2:$F$506,"Thursday")</f>
        <v/>
      </c>
      <c r="L8" s="11">
        <f>SUMIFS(Bets!$V$2:$V$506,Bets!$A$2:$A$506,"&lt;&gt;",Bets!$B$2:$B$506,"Trent",Bets!$F$2:$F$506,"Thursday")</f>
        <v/>
      </c>
      <c r="M8" s="12">
        <f>IF(K8=0,"",L8/K8)</f>
        <v/>
      </c>
      <c r="N8" s="13">
        <f>SUMIFS(Bets!$AD$2:$AD$506,Bets!$A$2:$A$506,"&lt;&gt;",Bets!$B$2:$B$506,"Trent",Bets!$F$2:$F$506,"Thursday")</f>
        <v/>
      </c>
      <c r="O8" s="14">
        <f>SUMIFS(Bets!$W$2:$W$506,Bets!$A$2:$A$506,"&lt;&gt;",Bets!$B$2:$B$506,"Trent",Bets!$F$2:$F$506,"Thursday")</f>
        <v/>
      </c>
      <c r="P8" s="12">
        <f>IF(N8=0,"",O8/N8)</f>
        <v/>
      </c>
    </row>
    <row r="9">
      <c r="A9" t="inlineStr">
        <is>
          <t>Trent (@BookitWithTrent)</t>
        </is>
      </c>
      <c r="B9" t="inlineStr">
        <is>
          <t>Friday</t>
        </is>
      </c>
      <c r="C9">
        <f>COUNTIFS(Bets!$A$2:$A$506,"&lt;&gt;",Bets!$B$2:$B$506,"Trent",Bets!$F$2:$F$506,"Friday")</f>
        <v/>
      </c>
      <c r="D9">
        <f>COUNTIFS(Bets!$A$2:$A$506,"&lt;&gt;",Bets!$B$2:$B$506,"Trent",Bets!$F$2:$F$506,"Friday",Bets!$U$2:$U$506,"W")</f>
        <v/>
      </c>
      <c r="E9">
        <f>COUNTIFS(Bets!$A$2:$A$506,"&lt;&gt;",Bets!$B$2:$B$506,"Trent",Bets!$F$2:$F$506,"Friday",Bets!$U$2:$U$506,"L")</f>
        <v/>
      </c>
      <c r="F9">
        <f>COUNTIFS(Bets!$A$2:$A$506,"&lt;&gt;",Bets!$B$2:$B$506,"Trent",Bets!$F$2:$F$506,"Friday",Bets!$U$2:$U$506,"Push")</f>
        <v/>
      </c>
      <c r="G9">
        <f>COUNTIFS(Bets!$A$2:$A$506,"&lt;&gt;",Bets!$B$2:$B$506,"Trent",Bets!$F$2:$F$506,"Friday",Bets!$U$2:$U$506,"Pending")</f>
        <v/>
      </c>
      <c r="H9">
        <f>COUNTIFS(Bets!$A$2:$A$506,"&lt;&gt;",Bets!$B$2:$B$506,"Trent",Bets!$F$2:$F$506,"Friday",Bets!$U$2:$U$506,"Unknown")</f>
        <v/>
      </c>
      <c r="I9" s="9">
        <f>IF(D9+E9=0,"",D9/(D9+E9))</f>
        <v/>
      </c>
      <c r="J9" s="10">
        <f>SUMIFS(Bets!$Q$2:$Q$506,Bets!$A$2:$A$506,"&lt;&gt;",Bets!$B$2:$B$506,"Trent",Bets!$F$2:$F$506,"Friday")</f>
        <v/>
      </c>
      <c r="K9" s="10">
        <f>SUMIFS(Bets!$AC$2:$AC$506,Bets!$A$2:$A$506,"&lt;&gt;",Bets!$B$2:$B$506,"Trent",Bets!$F$2:$F$506,"Friday")</f>
        <v/>
      </c>
      <c r="L9" s="11">
        <f>SUMIFS(Bets!$V$2:$V$506,Bets!$A$2:$A$506,"&lt;&gt;",Bets!$B$2:$B$506,"Trent",Bets!$F$2:$F$506,"Friday")</f>
        <v/>
      </c>
      <c r="M9" s="12">
        <f>IF(K9=0,"",L9/K9)</f>
        <v/>
      </c>
      <c r="N9" s="13">
        <f>SUMIFS(Bets!$AD$2:$AD$506,Bets!$A$2:$A$506,"&lt;&gt;",Bets!$B$2:$B$506,"Trent",Bets!$F$2:$F$506,"Friday")</f>
        <v/>
      </c>
      <c r="O9" s="14">
        <f>SUMIFS(Bets!$W$2:$W$506,Bets!$A$2:$A$506,"&lt;&gt;",Bets!$B$2:$B$506,"Trent",Bets!$F$2:$F$506,"Friday")</f>
        <v/>
      </c>
      <c r="P9" s="12">
        <f>IF(N9=0,"",O9/N9)</f>
        <v/>
      </c>
    </row>
    <row r="10">
      <c r="A10" t="inlineStr">
        <is>
          <t>Trent (@BookitWithTrent)</t>
        </is>
      </c>
      <c r="B10" t="inlineStr">
        <is>
          <t>Saturday</t>
        </is>
      </c>
      <c r="C10">
        <f>COUNTIFS(Bets!$A$2:$A$506,"&lt;&gt;",Bets!$B$2:$B$506,"Trent",Bets!$F$2:$F$506,"Saturday")</f>
        <v/>
      </c>
      <c r="D10">
        <f>COUNTIFS(Bets!$A$2:$A$506,"&lt;&gt;",Bets!$B$2:$B$506,"Trent",Bets!$F$2:$F$506,"Saturday",Bets!$U$2:$U$506,"W")</f>
        <v/>
      </c>
      <c r="E10">
        <f>COUNTIFS(Bets!$A$2:$A$506,"&lt;&gt;",Bets!$B$2:$B$506,"Trent",Bets!$F$2:$F$506,"Saturday",Bets!$U$2:$U$506,"L")</f>
        <v/>
      </c>
      <c r="F10">
        <f>COUNTIFS(Bets!$A$2:$A$506,"&lt;&gt;",Bets!$B$2:$B$506,"Trent",Bets!$F$2:$F$506,"Saturday",Bets!$U$2:$U$506,"Push")</f>
        <v/>
      </c>
      <c r="G10">
        <f>COUNTIFS(Bets!$A$2:$A$506,"&lt;&gt;",Bets!$B$2:$B$506,"Trent",Bets!$F$2:$F$506,"Saturday",Bets!$U$2:$U$506,"Pending")</f>
        <v/>
      </c>
      <c r="H10">
        <f>COUNTIFS(Bets!$A$2:$A$506,"&lt;&gt;",Bets!$B$2:$B$506,"Trent",Bets!$F$2:$F$506,"Saturday",Bets!$U$2:$U$506,"Unknown")</f>
        <v/>
      </c>
      <c r="I10" s="9">
        <f>IF(D10+E10=0,"",D10/(D10+E10))</f>
        <v/>
      </c>
      <c r="J10" s="10">
        <f>SUMIFS(Bets!$Q$2:$Q$506,Bets!$A$2:$A$506,"&lt;&gt;",Bets!$B$2:$B$506,"Trent",Bets!$F$2:$F$506,"Saturday")</f>
        <v/>
      </c>
      <c r="K10" s="10">
        <f>SUMIFS(Bets!$AC$2:$AC$506,Bets!$A$2:$A$506,"&lt;&gt;",Bets!$B$2:$B$506,"Trent",Bets!$F$2:$F$506,"Saturday")</f>
        <v/>
      </c>
      <c r="L10" s="11">
        <f>SUMIFS(Bets!$V$2:$V$506,Bets!$A$2:$A$506,"&lt;&gt;",Bets!$B$2:$B$506,"Trent",Bets!$F$2:$F$506,"Saturday")</f>
        <v/>
      </c>
      <c r="M10" s="12">
        <f>IF(K10=0,"",L10/K10)</f>
        <v/>
      </c>
      <c r="N10" s="13">
        <f>SUMIFS(Bets!$AD$2:$AD$506,Bets!$A$2:$A$506,"&lt;&gt;",Bets!$B$2:$B$506,"Trent",Bets!$F$2:$F$506,"Saturday")</f>
        <v/>
      </c>
      <c r="O10" s="14">
        <f>SUMIFS(Bets!$W$2:$W$506,Bets!$A$2:$A$506,"&lt;&gt;",Bets!$B$2:$B$506,"Trent",Bets!$F$2:$F$506,"Saturday")</f>
        <v/>
      </c>
      <c r="P10" s="12">
        <f>IF(N10=0,"",O10/N10)</f>
        <v/>
      </c>
    </row>
    <row r="11">
      <c r="A11" t="inlineStr">
        <is>
          <t>Trent (@BookitWithTrent)</t>
        </is>
      </c>
      <c r="B11" t="inlineStr">
        <is>
          <t>Sunday</t>
        </is>
      </c>
      <c r="C11">
        <f>COUNTIFS(Bets!$A$2:$A$506,"&lt;&gt;",Bets!$B$2:$B$506,"Trent",Bets!$F$2:$F$506,"Sunday")</f>
        <v/>
      </c>
      <c r="D11">
        <f>COUNTIFS(Bets!$A$2:$A$506,"&lt;&gt;",Bets!$B$2:$B$506,"Trent",Bets!$F$2:$F$506,"Sunday",Bets!$U$2:$U$506,"W")</f>
        <v/>
      </c>
      <c r="E11">
        <f>COUNTIFS(Bets!$A$2:$A$506,"&lt;&gt;",Bets!$B$2:$B$506,"Trent",Bets!$F$2:$F$506,"Sunday",Bets!$U$2:$U$506,"L")</f>
        <v/>
      </c>
      <c r="F11">
        <f>COUNTIFS(Bets!$A$2:$A$506,"&lt;&gt;",Bets!$B$2:$B$506,"Trent",Bets!$F$2:$F$506,"Sunday",Bets!$U$2:$U$506,"Push")</f>
        <v/>
      </c>
      <c r="G11">
        <f>COUNTIFS(Bets!$A$2:$A$506,"&lt;&gt;",Bets!$B$2:$B$506,"Trent",Bets!$F$2:$F$506,"Sunday",Bets!$U$2:$U$506,"Pending")</f>
        <v/>
      </c>
      <c r="H11">
        <f>COUNTIFS(Bets!$A$2:$A$506,"&lt;&gt;",Bets!$B$2:$B$506,"Trent",Bets!$F$2:$F$506,"Sunday",Bets!$U$2:$U$506,"Unknown")</f>
        <v/>
      </c>
      <c r="I11" s="9">
        <f>IF(D11+E11=0,"",D11/(D11+E11))</f>
        <v/>
      </c>
      <c r="J11" s="10">
        <f>SUMIFS(Bets!$Q$2:$Q$506,Bets!$A$2:$A$506,"&lt;&gt;",Bets!$B$2:$B$506,"Trent",Bets!$F$2:$F$506,"Sunday")</f>
        <v/>
      </c>
      <c r="K11" s="10">
        <f>SUMIFS(Bets!$AC$2:$AC$506,Bets!$A$2:$A$506,"&lt;&gt;",Bets!$B$2:$B$506,"Trent",Bets!$F$2:$F$506,"Sunday")</f>
        <v/>
      </c>
      <c r="L11" s="11">
        <f>SUMIFS(Bets!$V$2:$V$506,Bets!$A$2:$A$506,"&lt;&gt;",Bets!$B$2:$B$506,"Trent",Bets!$F$2:$F$506,"Sunday")</f>
        <v/>
      </c>
      <c r="M11" s="12">
        <f>IF(K11=0,"",L11/K11)</f>
        <v/>
      </c>
      <c r="N11" s="13">
        <f>SUMIFS(Bets!$AD$2:$AD$506,Bets!$A$2:$A$506,"&lt;&gt;",Bets!$B$2:$B$506,"Trent",Bets!$F$2:$F$506,"Sunday")</f>
        <v/>
      </c>
      <c r="O11" s="14">
        <f>SUMIFS(Bets!$W$2:$W$506,Bets!$A$2:$A$506,"&lt;&gt;",Bets!$B$2:$B$506,"Trent",Bets!$F$2:$F$506,"Sunday")</f>
        <v/>
      </c>
      <c r="P11" s="12">
        <f>IF(N11=0,"",O11/N11)</f>
        <v/>
      </c>
    </row>
    <row r="13">
      <c r="A13" s="7" t="inlineStr">
        <is>
          <t>Steve (@stevewilldoit)</t>
        </is>
      </c>
    </row>
    <row r="14">
      <c r="A14" s="8" t="inlineStr">
        <is>
          <t>Bettor</t>
        </is>
      </c>
      <c r="B14" s="8" t="inlineStr">
        <is>
          <t>Game day</t>
        </is>
      </c>
      <c r="C14" s="8" t="inlineStr">
        <is>
          <t>Bets</t>
        </is>
      </c>
      <c r="D14" s="8" t="inlineStr">
        <is>
          <t>W</t>
        </is>
      </c>
      <c r="E14" s="8" t="inlineStr">
        <is>
          <t>L</t>
        </is>
      </c>
      <c r="F14" s="8" t="inlineStr">
        <is>
          <t>Push</t>
        </is>
      </c>
      <c r="G14" s="8" t="inlineStr">
        <is>
          <t>Pending</t>
        </is>
      </c>
      <c r="H14" s="8" t="inlineStr">
        <is>
          <t>Unknown</t>
        </is>
      </c>
      <c r="I14" s="8" t="inlineStr">
        <is>
          <t>Win % (W/(W+L))</t>
        </is>
      </c>
      <c r="J14" s="8" t="inlineStr">
        <is>
          <t>Total staked $ (all $ bets)</t>
        </is>
      </c>
      <c r="K14" s="8" t="inlineStr">
        <is>
          <t>Settled staked $</t>
        </is>
      </c>
      <c r="L14" s="8" t="inlineStr">
        <is>
          <t>Net P/L $</t>
        </is>
      </c>
      <c r="M14" s="8" t="inlineStr">
        <is>
          <t>ROI (net / settled $)</t>
        </is>
      </c>
      <c r="N14" s="8" t="inlineStr">
        <is>
          <t>Units staked (settled)</t>
        </is>
      </c>
      <c r="O14" s="8" t="inlineStr">
        <is>
          <t>Net units</t>
        </is>
      </c>
      <c r="P14" s="8" t="inlineStr">
        <is>
          <t>ROI (units)</t>
        </is>
      </c>
    </row>
    <row r="15">
      <c r="A15" t="inlineStr">
        <is>
          <t>Steve (@stevewilldoit)</t>
        </is>
      </c>
      <c r="B15" t="inlineStr">
        <is>
          <t>Monday</t>
        </is>
      </c>
      <c r="C15">
        <f>COUNTIFS(Bets!$A$2:$A$506,"&lt;&gt;",Bets!$B$2:$B$506,"Steve",Bets!$F$2:$F$506,"Monday")</f>
        <v/>
      </c>
      <c r="D15">
        <f>COUNTIFS(Bets!$A$2:$A$506,"&lt;&gt;",Bets!$B$2:$B$506,"Steve",Bets!$F$2:$F$506,"Monday",Bets!$U$2:$U$506,"W")</f>
        <v/>
      </c>
      <c r="E15">
        <f>COUNTIFS(Bets!$A$2:$A$506,"&lt;&gt;",Bets!$B$2:$B$506,"Steve",Bets!$F$2:$F$506,"Monday",Bets!$U$2:$U$506,"L")</f>
        <v/>
      </c>
      <c r="F15">
        <f>COUNTIFS(Bets!$A$2:$A$506,"&lt;&gt;",Bets!$B$2:$B$506,"Steve",Bets!$F$2:$F$506,"Monday",Bets!$U$2:$U$506,"Push")</f>
        <v/>
      </c>
      <c r="G15">
        <f>COUNTIFS(Bets!$A$2:$A$506,"&lt;&gt;",Bets!$B$2:$B$506,"Steve",Bets!$F$2:$F$506,"Monday",Bets!$U$2:$U$506,"Pending")</f>
        <v/>
      </c>
      <c r="H15">
        <f>COUNTIFS(Bets!$A$2:$A$506,"&lt;&gt;",Bets!$B$2:$B$506,"Steve",Bets!$F$2:$F$506,"Monday",Bets!$U$2:$U$506,"Unknown")</f>
        <v/>
      </c>
      <c r="I15" s="9">
        <f>IF(D15+E15=0,"",D15/(D15+E15))</f>
        <v/>
      </c>
      <c r="J15" s="10">
        <f>SUMIFS(Bets!$Q$2:$Q$506,Bets!$A$2:$A$506,"&lt;&gt;",Bets!$B$2:$B$506,"Steve",Bets!$F$2:$F$506,"Monday")</f>
        <v/>
      </c>
      <c r="K15" s="10">
        <f>SUMIFS(Bets!$AC$2:$AC$506,Bets!$A$2:$A$506,"&lt;&gt;",Bets!$B$2:$B$506,"Steve",Bets!$F$2:$F$506,"Monday")</f>
        <v/>
      </c>
      <c r="L15" s="11">
        <f>SUMIFS(Bets!$V$2:$V$506,Bets!$A$2:$A$506,"&lt;&gt;",Bets!$B$2:$B$506,"Steve",Bets!$F$2:$F$506,"Monday")</f>
        <v/>
      </c>
      <c r="M15" s="12">
        <f>IF(K15=0,"",L15/K15)</f>
        <v/>
      </c>
      <c r="N15" s="13">
        <f>SUMIFS(Bets!$AD$2:$AD$506,Bets!$A$2:$A$506,"&lt;&gt;",Bets!$B$2:$B$506,"Steve",Bets!$F$2:$F$506,"Monday")</f>
        <v/>
      </c>
      <c r="O15" s="14">
        <f>SUMIFS(Bets!$W$2:$W$506,Bets!$A$2:$A$506,"&lt;&gt;",Bets!$B$2:$B$506,"Steve",Bets!$F$2:$F$506,"Monday")</f>
        <v/>
      </c>
      <c r="P15" s="12">
        <f>IF(N15=0,"",O15/N15)</f>
        <v/>
      </c>
    </row>
    <row r="16">
      <c r="A16" t="inlineStr">
        <is>
          <t>Steve (@stevewilldoit)</t>
        </is>
      </c>
      <c r="B16" t="inlineStr">
        <is>
          <t>Tuesday</t>
        </is>
      </c>
      <c r="C16">
        <f>COUNTIFS(Bets!$A$2:$A$506,"&lt;&gt;",Bets!$B$2:$B$506,"Steve",Bets!$F$2:$F$506,"Tuesday")</f>
        <v/>
      </c>
      <c r="D16">
        <f>COUNTIFS(Bets!$A$2:$A$506,"&lt;&gt;",Bets!$B$2:$B$506,"Steve",Bets!$F$2:$F$506,"Tuesday",Bets!$U$2:$U$506,"W")</f>
        <v/>
      </c>
      <c r="E16">
        <f>COUNTIFS(Bets!$A$2:$A$506,"&lt;&gt;",Bets!$B$2:$B$506,"Steve",Bets!$F$2:$F$506,"Tuesday",Bets!$U$2:$U$506,"L")</f>
        <v/>
      </c>
      <c r="F16">
        <f>COUNTIFS(Bets!$A$2:$A$506,"&lt;&gt;",Bets!$B$2:$B$506,"Steve",Bets!$F$2:$F$506,"Tuesday",Bets!$U$2:$U$506,"Push")</f>
        <v/>
      </c>
      <c r="G16">
        <f>COUNTIFS(Bets!$A$2:$A$506,"&lt;&gt;",Bets!$B$2:$B$506,"Steve",Bets!$F$2:$F$506,"Tuesday",Bets!$U$2:$U$506,"Pending")</f>
        <v/>
      </c>
      <c r="H16">
        <f>COUNTIFS(Bets!$A$2:$A$506,"&lt;&gt;",Bets!$B$2:$B$506,"Steve",Bets!$F$2:$F$506,"Tuesday",Bets!$U$2:$U$506,"Unknown")</f>
        <v/>
      </c>
      <c r="I16" s="9">
        <f>IF(D16+E16=0,"",D16/(D16+E16))</f>
        <v/>
      </c>
      <c r="J16" s="10">
        <f>SUMIFS(Bets!$Q$2:$Q$506,Bets!$A$2:$A$506,"&lt;&gt;",Bets!$B$2:$B$506,"Steve",Bets!$F$2:$F$506,"Tuesday")</f>
        <v/>
      </c>
      <c r="K16" s="10">
        <f>SUMIFS(Bets!$AC$2:$AC$506,Bets!$A$2:$A$506,"&lt;&gt;",Bets!$B$2:$B$506,"Steve",Bets!$F$2:$F$506,"Tuesday")</f>
        <v/>
      </c>
      <c r="L16" s="11">
        <f>SUMIFS(Bets!$V$2:$V$506,Bets!$A$2:$A$506,"&lt;&gt;",Bets!$B$2:$B$506,"Steve",Bets!$F$2:$F$506,"Tuesday")</f>
        <v/>
      </c>
      <c r="M16" s="12">
        <f>IF(K16=0,"",L16/K16)</f>
        <v/>
      </c>
      <c r="N16" s="13">
        <f>SUMIFS(Bets!$AD$2:$AD$506,Bets!$A$2:$A$506,"&lt;&gt;",Bets!$B$2:$B$506,"Steve",Bets!$F$2:$F$506,"Tuesday")</f>
        <v/>
      </c>
      <c r="O16" s="14">
        <f>SUMIFS(Bets!$W$2:$W$506,Bets!$A$2:$A$506,"&lt;&gt;",Bets!$B$2:$B$506,"Steve",Bets!$F$2:$F$506,"Tuesday")</f>
        <v/>
      </c>
      <c r="P16" s="12">
        <f>IF(N16=0,"",O16/N16)</f>
        <v/>
      </c>
    </row>
    <row r="17">
      <c r="A17" t="inlineStr">
        <is>
          <t>Steve (@stevewilldoit)</t>
        </is>
      </c>
      <c r="B17" t="inlineStr">
        <is>
          <t>Wednesday</t>
        </is>
      </c>
      <c r="C17">
        <f>COUNTIFS(Bets!$A$2:$A$506,"&lt;&gt;",Bets!$B$2:$B$506,"Steve",Bets!$F$2:$F$506,"Wednesday")</f>
        <v/>
      </c>
      <c r="D17">
        <f>COUNTIFS(Bets!$A$2:$A$506,"&lt;&gt;",Bets!$B$2:$B$506,"Steve",Bets!$F$2:$F$506,"Wednesday",Bets!$U$2:$U$506,"W")</f>
        <v/>
      </c>
      <c r="E17">
        <f>COUNTIFS(Bets!$A$2:$A$506,"&lt;&gt;",Bets!$B$2:$B$506,"Steve",Bets!$F$2:$F$506,"Wednesday",Bets!$U$2:$U$506,"L")</f>
        <v/>
      </c>
      <c r="F17">
        <f>COUNTIFS(Bets!$A$2:$A$506,"&lt;&gt;",Bets!$B$2:$B$506,"Steve",Bets!$F$2:$F$506,"Wednesday",Bets!$U$2:$U$506,"Push")</f>
        <v/>
      </c>
      <c r="G17">
        <f>COUNTIFS(Bets!$A$2:$A$506,"&lt;&gt;",Bets!$B$2:$B$506,"Steve",Bets!$F$2:$F$506,"Wednesday",Bets!$U$2:$U$506,"Pending")</f>
        <v/>
      </c>
      <c r="H17">
        <f>COUNTIFS(Bets!$A$2:$A$506,"&lt;&gt;",Bets!$B$2:$B$506,"Steve",Bets!$F$2:$F$506,"Wednesday",Bets!$U$2:$U$506,"Unknown")</f>
        <v/>
      </c>
      <c r="I17" s="9">
        <f>IF(D17+E17=0,"",D17/(D17+E17))</f>
        <v/>
      </c>
      <c r="J17" s="10">
        <f>SUMIFS(Bets!$Q$2:$Q$506,Bets!$A$2:$A$506,"&lt;&gt;",Bets!$B$2:$B$506,"Steve",Bets!$F$2:$F$506,"Wednesday")</f>
        <v/>
      </c>
      <c r="K17" s="10">
        <f>SUMIFS(Bets!$AC$2:$AC$506,Bets!$A$2:$A$506,"&lt;&gt;",Bets!$B$2:$B$506,"Steve",Bets!$F$2:$F$506,"Wednesday")</f>
        <v/>
      </c>
      <c r="L17" s="11">
        <f>SUMIFS(Bets!$V$2:$V$506,Bets!$A$2:$A$506,"&lt;&gt;",Bets!$B$2:$B$506,"Steve",Bets!$F$2:$F$506,"Wednesday")</f>
        <v/>
      </c>
      <c r="M17" s="12">
        <f>IF(K17=0,"",L17/K17)</f>
        <v/>
      </c>
      <c r="N17" s="13">
        <f>SUMIFS(Bets!$AD$2:$AD$506,Bets!$A$2:$A$506,"&lt;&gt;",Bets!$B$2:$B$506,"Steve",Bets!$F$2:$F$506,"Wednesday")</f>
        <v/>
      </c>
      <c r="O17" s="14">
        <f>SUMIFS(Bets!$W$2:$W$506,Bets!$A$2:$A$506,"&lt;&gt;",Bets!$B$2:$B$506,"Steve",Bets!$F$2:$F$506,"Wednesday")</f>
        <v/>
      </c>
      <c r="P17" s="12">
        <f>IF(N17=0,"",O17/N17)</f>
        <v/>
      </c>
    </row>
    <row r="18">
      <c r="A18" t="inlineStr">
        <is>
          <t>Steve (@stevewilldoit)</t>
        </is>
      </c>
      <c r="B18" t="inlineStr">
        <is>
          <t>Thursday</t>
        </is>
      </c>
      <c r="C18">
        <f>COUNTIFS(Bets!$A$2:$A$506,"&lt;&gt;",Bets!$B$2:$B$506,"Steve",Bets!$F$2:$F$506,"Thursday")</f>
        <v/>
      </c>
      <c r="D18">
        <f>COUNTIFS(Bets!$A$2:$A$506,"&lt;&gt;",Bets!$B$2:$B$506,"Steve",Bets!$F$2:$F$506,"Thursday",Bets!$U$2:$U$506,"W")</f>
        <v/>
      </c>
      <c r="E18">
        <f>COUNTIFS(Bets!$A$2:$A$506,"&lt;&gt;",Bets!$B$2:$B$506,"Steve",Bets!$F$2:$F$506,"Thursday",Bets!$U$2:$U$506,"L")</f>
        <v/>
      </c>
      <c r="F18">
        <f>COUNTIFS(Bets!$A$2:$A$506,"&lt;&gt;",Bets!$B$2:$B$506,"Steve",Bets!$F$2:$F$506,"Thursday",Bets!$U$2:$U$506,"Push")</f>
        <v/>
      </c>
      <c r="G18">
        <f>COUNTIFS(Bets!$A$2:$A$506,"&lt;&gt;",Bets!$B$2:$B$506,"Steve",Bets!$F$2:$F$506,"Thursday",Bets!$U$2:$U$506,"Pending")</f>
        <v/>
      </c>
      <c r="H18">
        <f>COUNTIFS(Bets!$A$2:$A$506,"&lt;&gt;",Bets!$B$2:$B$506,"Steve",Bets!$F$2:$F$506,"Thursday",Bets!$U$2:$U$506,"Unknown")</f>
        <v/>
      </c>
      <c r="I18" s="9">
        <f>IF(D18+E18=0,"",D18/(D18+E18))</f>
        <v/>
      </c>
      <c r="J18" s="10">
        <f>SUMIFS(Bets!$Q$2:$Q$506,Bets!$A$2:$A$506,"&lt;&gt;",Bets!$B$2:$B$506,"Steve",Bets!$F$2:$F$506,"Thursday")</f>
        <v/>
      </c>
      <c r="K18" s="10">
        <f>SUMIFS(Bets!$AC$2:$AC$506,Bets!$A$2:$A$506,"&lt;&gt;",Bets!$B$2:$B$506,"Steve",Bets!$F$2:$F$506,"Thursday")</f>
        <v/>
      </c>
      <c r="L18" s="11">
        <f>SUMIFS(Bets!$V$2:$V$506,Bets!$A$2:$A$506,"&lt;&gt;",Bets!$B$2:$B$506,"Steve",Bets!$F$2:$F$506,"Thursday")</f>
        <v/>
      </c>
      <c r="M18" s="12">
        <f>IF(K18=0,"",L18/K18)</f>
        <v/>
      </c>
      <c r="N18" s="13">
        <f>SUMIFS(Bets!$AD$2:$AD$506,Bets!$A$2:$A$506,"&lt;&gt;",Bets!$B$2:$B$506,"Steve",Bets!$F$2:$F$506,"Thursday")</f>
        <v/>
      </c>
      <c r="O18" s="14">
        <f>SUMIFS(Bets!$W$2:$W$506,Bets!$A$2:$A$506,"&lt;&gt;",Bets!$B$2:$B$506,"Steve",Bets!$F$2:$F$506,"Thursday")</f>
        <v/>
      </c>
      <c r="P18" s="12">
        <f>IF(N18=0,"",O18/N18)</f>
        <v/>
      </c>
    </row>
    <row r="19">
      <c r="A19" t="inlineStr">
        <is>
          <t>Steve (@stevewilldoit)</t>
        </is>
      </c>
      <c r="B19" t="inlineStr">
        <is>
          <t>Friday</t>
        </is>
      </c>
      <c r="C19">
        <f>COUNTIFS(Bets!$A$2:$A$506,"&lt;&gt;",Bets!$B$2:$B$506,"Steve",Bets!$F$2:$F$506,"Friday")</f>
        <v/>
      </c>
      <c r="D19">
        <f>COUNTIFS(Bets!$A$2:$A$506,"&lt;&gt;",Bets!$B$2:$B$506,"Steve",Bets!$F$2:$F$506,"Friday",Bets!$U$2:$U$506,"W")</f>
        <v/>
      </c>
      <c r="E19">
        <f>COUNTIFS(Bets!$A$2:$A$506,"&lt;&gt;",Bets!$B$2:$B$506,"Steve",Bets!$F$2:$F$506,"Friday",Bets!$U$2:$U$506,"L")</f>
        <v/>
      </c>
      <c r="F19">
        <f>COUNTIFS(Bets!$A$2:$A$506,"&lt;&gt;",Bets!$B$2:$B$506,"Steve",Bets!$F$2:$F$506,"Friday",Bets!$U$2:$U$506,"Push")</f>
        <v/>
      </c>
      <c r="G19">
        <f>COUNTIFS(Bets!$A$2:$A$506,"&lt;&gt;",Bets!$B$2:$B$506,"Steve",Bets!$F$2:$F$506,"Friday",Bets!$U$2:$U$506,"Pending")</f>
        <v/>
      </c>
      <c r="H19">
        <f>COUNTIFS(Bets!$A$2:$A$506,"&lt;&gt;",Bets!$B$2:$B$506,"Steve",Bets!$F$2:$F$506,"Friday",Bets!$U$2:$U$506,"Unknown")</f>
        <v/>
      </c>
      <c r="I19" s="9">
        <f>IF(D19+E19=0,"",D19/(D19+E19))</f>
        <v/>
      </c>
      <c r="J19" s="10">
        <f>SUMIFS(Bets!$Q$2:$Q$506,Bets!$A$2:$A$506,"&lt;&gt;",Bets!$B$2:$B$506,"Steve",Bets!$F$2:$F$506,"Friday")</f>
        <v/>
      </c>
      <c r="K19" s="10">
        <f>SUMIFS(Bets!$AC$2:$AC$506,Bets!$A$2:$A$506,"&lt;&gt;",Bets!$B$2:$B$506,"Steve",Bets!$F$2:$F$506,"Friday")</f>
        <v/>
      </c>
      <c r="L19" s="11">
        <f>SUMIFS(Bets!$V$2:$V$506,Bets!$A$2:$A$506,"&lt;&gt;",Bets!$B$2:$B$506,"Steve",Bets!$F$2:$F$506,"Friday")</f>
        <v/>
      </c>
      <c r="M19" s="12">
        <f>IF(K19=0,"",L19/K19)</f>
        <v/>
      </c>
      <c r="N19" s="13">
        <f>SUMIFS(Bets!$AD$2:$AD$506,Bets!$A$2:$A$506,"&lt;&gt;",Bets!$B$2:$B$506,"Steve",Bets!$F$2:$F$506,"Friday")</f>
        <v/>
      </c>
      <c r="O19" s="14">
        <f>SUMIFS(Bets!$W$2:$W$506,Bets!$A$2:$A$506,"&lt;&gt;",Bets!$B$2:$B$506,"Steve",Bets!$F$2:$F$506,"Friday")</f>
        <v/>
      </c>
      <c r="P19" s="12">
        <f>IF(N19=0,"",O19/N19)</f>
        <v/>
      </c>
    </row>
    <row r="20">
      <c r="A20" t="inlineStr">
        <is>
          <t>Steve (@stevewilldoit)</t>
        </is>
      </c>
      <c r="B20" t="inlineStr">
        <is>
          <t>Saturday</t>
        </is>
      </c>
      <c r="C20">
        <f>COUNTIFS(Bets!$A$2:$A$506,"&lt;&gt;",Bets!$B$2:$B$506,"Steve",Bets!$F$2:$F$506,"Saturday")</f>
        <v/>
      </c>
      <c r="D20">
        <f>COUNTIFS(Bets!$A$2:$A$506,"&lt;&gt;",Bets!$B$2:$B$506,"Steve",Bets!$F$2:$F$506,"Saturday",Bets!$U$2:$U$506,"W")</f>
        <v/>
      </c>
      <c r="E20">
        <f>COUNTIFS(Bets!$A$2:$A$506,"&lt;&gt;",Bets!$B$2:$B$506,"Steve",Bets!$F$2:$F$506,"Saturday",Bets!$U$2:$U$506,"L")</f>
        <v/>
      </c>
      <c r="F20">
        <f>COUNTIFS(Bets!$A$2:$A$506,"&lt;&gt;",Bets!$B$2:$B$506,"Steve",Bets!$F$2:$F$506,"Saturday",Bets!$U$2:$U$506,"Push")</f>
        <v/>
      </c>
      <c r="G20">
        <f>COUNTIFS(Bets!$A$2:$A$506,"&lt;&gt;",Bets!$B$2:$B$506,"Steve",Bets!$F$2:$F$506,"Saturday",Bets!$U$2:$U$506,"Pending")</f>
        <v/>
      </c>
      <c r="H20">
        <f>COUNTIFS(Bets!$A$2:$A$506,"&lt;&gt;",Bets!$B$2:$B$506,"Steve",Bets!$F$2:$F$506,"Saturday",Bets!$U$2:$U$506,"Unknown")</f>
        <v/>
      </c>
      <c r="I20" s="9">
        <f>IF(D20+E20=0,"",D20/(D20+E20))</f>
        <v/>
      </c>
      <c r="J20" s="10">
        <f>SUMIFS(Bets!$Q$2:$Q$506,Bets!$A$2:$A$506,"&lt;&gt;",Bets!$B$2:$B$506,"Steve",Bets!$F$2:$F$506,"Saturday")</f>
        <v/>
      </c>
      <c r="K20" s="10">
        <f>SUMIFS(Bets!$AC$2:$AC$506,Bets!$A$2:$A$506,"&lt;&gt;",Bets!$B$2:$B$506,"Steve",Bets!$F$2:$F$506,"Saturday")</f>
        <v/>
      </c>
      <c r="L20" s="11">
        <f>SUMIFS(Bets!$V$2:$V$506,Bets!$A$2:$A$506,"&lt;&gt;",Bets!$B$2:$B$506,"Steve",Bets!$F$2:$F$506,"Saturday")</f>
        <v/>
      </c>
      <c r="M20" s="12">
        <f>IF(K20=0,"",L20/K20)</f>
        <v/>
      </c>
      <c r="N20" s="13">
        <f>SUMIFS(Bets!$AD$2:$AD$506,Bets!$A$2:$A$506,"&lt;&gt;",Bets!$B$2:$B$506,"Steve",Bets!$F$2:$F$506,"Saturday")</f>
        <v/>
      </c>
      <c r="O20" s="14">
        <f>SUMIFS(Bets!$W$2:$W$506,Bets!$A$2:$A$506,"&lt;&gt;",Bets!$B$2:$B$506,"Steve",Bets!$F$2:$F$506,"Saturday")</f>
        <v/>
      </c>
      <c r="P20" s="12">
        <f>IF(N20=0,"",O20/N20)</f>
        <v/>
      </c>
    </row>
    <row r="21">
      <c r="A21" t="inlineStr">
        <is>
          <t>Steve (@stevewilldoit)</t>
        </is>
      </c>
      <c r="B21" t="inlineStr">
        <is>
          <t>Sunday</t>
        </is>
      </c>
      <c r="C21">
        <f>COUNTIFS(Bets!$A$2:$A$506,"&lt;&gt;",Bets!$B$2:$B$506,"Steve",Bets!$F$2:$F$506,"Sunday")</f>
        <v/>
      </c>
      <c r="D21">
        <f>COUNTIFS(Bets!$A$2:$A$506,"&lt;&gt;",Bets!$B$2:$B$506,"Steve",Bets!$F$2:$F$506,"Sunday",Bets!$U$2:$U$506,"W")</f>
        <v/>
      </c>
      <c r="E21">
        <f>COUNTIFS(Bets!$A$2:$A$506,"&lt;&gt;",Bets!$B$2:$B$506,"Steve",Bets!$F$2:$F$506,"Sunday",Bets!$U$2:$U$506,"L")</f>
        <v/>
      </c>
      <c r="F21">
        <f>COUNTIFS(Bets!$A$2:$A$506,"&lt;&gt;",Bets!$B$2:$B$506,"Steve",Bets!$F$2:$F$506,"Sunday",Bets!$U$2:$U$506,"Push")</f>
        <v/>
      </c>
      <c r="G21">
        <f>COUNTIFS(Bets!$A$2:$A$506,"&lt;&gt;",Bets!$B$2:$B$506,"Steve",Bets!$F$2:$F$506,"Sunday",Bets!$U$2:$U$506,"Pending")</f>
        <v/>
      </c>
      <c r="H21">
        <f>COUNTIFS(Bets!$A$2:$A$506,"&lt;&gt;",Bets!$B$2:$B$506,"Steve",Bets!$F$2:$F$506,"Sunday",Bets!$U$2:$U$506,"Unknown")</f>
        <v/>
      </c>
      <c r="I21" s="9">
        <f>IF(D21+E21=0,"",D21/(D21+E21))</f>
        <v/>
      </c>
      <c r="J21" s="10">
        <f>SUMIFS(Bets!$Q$2:$Q$506,Bets!$A$2:$A$506,"&lt;&gt;",Bets!$B$2:$B$506,"Steve",Bets!$F$2:$F$506,"Sunday")</f>
        <v/>
      </c>
      <c r="K21" s="10">
        <f>SUMIFS(Bets!$AC$2:$AC$506,Bets!$A$2:$A$506,"&lt;&gt;",Bets!$B$2:$B$506,"Steve",Bets!$F$2:$F$506,"Sunday")</f>
        <v/>
      </c>
      <c r="L21" s="11">
        <f>SUMIFS(Bets!$V$2:$V$506,Bets!$A$2:$A$506,"&lt;&gt;",Bets!$B$2:$B$506,"Steve",Bets!$F$2:$F$506,"Sunday")</f>
        <v/>
      </c>
      <c r="M21" s="12">
        <f>IF(K21=0,"",L21/K21)</f>
        <v/>
      </c>
      <c r="N21" s="13">
        <f>SUMIFS(Bets!$AD$2:$AD$506,Bets!$A$2:$A$506,"&lt;&gt;",Bets!$B$2:$B$506,"Steve",Bets!$F$2:$F$506,"Sunday")</f>
        <v/>
      </c>
      <c r="O21" s="14">
        <f>SUMIFS(Bets!$W$2:$W$506,Bets!$A$2:$A$506,"&lt;&gt;",Bets!$B$2:$B$506,"Steve",Bets!$F$2:$F$506,"Sunday")</f>
        <v/>
      </c>
      <c r="P21" s="12">
        <f>IF(N21=0,"",O21/N21)</f>
        <v/>
      </c>
    </row>
    <row r="23">
      <c r="A23" s="7" t="inlineStr">
        <is>
          <t>Combined</t>
        </is>
      </c>
    </row>
    <row r="24">
      <c r="A24" s="8" t="inlineStr">
        <is>
          <t>Bettor</t>
        </is>
      </c>
      <c r="B24" s="8" t="inlineStr">
        <is>
          <t>Game day</t>
        </is>
      </c>
      <c r="C24" s="8" t="inlineStr">
        <is>
          <t>Bets</t>
        </is>
      </c>
      <c r="D24" s="8" t="inlineStr">
        <is>
          <t>W</t>
        </is>
      </c>
      <c r="E24" s="8" t="inlineStr">
        <is>
          <t>L</t>
        </is>
      </c>
      <c r="F24" s="8" t="inlineStr">
        <is>
          <t>Push</t>
        </is>
      </c>
      <c r="G24" s="8" t="inlineStr">
        <is>
          <t>Pending</t>
        </is>
      </c>
      <c r="H24" s="8" t="inlineStr">
        <is>
          <t>Unknown</t>
        </is>
      </c>
      <c r="I24" s="8" t="inlineStr">
        <is>
          <t>Win % (W/(W+L))</t>
        </is>
      </c>
      <c r="J24" s="8" t="inlineStr">
        <is>
          <t>Total staked $ (all $ bets)</t>
        </is>
      </c>
      <c r="K24" s="8" t="inlineStr">
        <is>
          <t>Settled staked $</t>
        </is>
      </c>
      <c r="L24" s="8" t="inlineStr">
        <is>
          <t>Net P/L $</t>
        </is>
      </c>
      <c r="M24" s="8" t="inlineStr">
        <is>
          <t>ROI (net / settled $)</t>
        </is>
      </c>
      <c r="N24" s="8" t="inlineStr">
        <is>
          <t>Units staked (settled)</t>
        </is>
      </c>
      <c r="O24" s="8" t="inlineStr">
        <is>
          <t>Net units</t>
        </is>
      </c>
      <c r="P24" s="8" t="inlineStr">
        <is>
          <t>ROI (units)</t>
        </is>
      </c>
    </row>
    <row r="25">
      <c r="A25" t="inlineStr">
        <is>
          <t>Combined</t>
        </is>
      </c>
      <c r="B25" t="inlineStr">
        <is>
          <t>Monday</t>
        </is>
      </c>
      <c r="C25">
        <f>COUNTIFS(Bets!$A$2:$A$506,"&lt;&gt;",Bets!$B$2:$B$506,"*",Bets!$F$2:$F$506,"Monday")</f>
        <v/>
      </c>
      <c r="D25">
        <f>COUNTIFS(Bets!$A$2:$A$506,"&lt;&gt;",Bets!$B$2:$B$506,"*",Bets!$F$2:$F$506,"Monday",Bets!$U$2:$U$506,"W")</f>
        <v/>
      </c>
      <c r="E25">
        <f>COUNTIFS(Bets!$A$2:$A$506,"&lt;&gt;",Bets!$B$2:$B$506,"*",Bets!$F$2:$F$506,"Monday",Bets!$U$2:$U$506,"L")</f>
        <v/>
      </c>
      <c r="F25">
        <f>COUNTIFS(Bets!$A$2:$A$506,"&lt;&gt;",Bets!$B$2:$B$506,"*",Bets!$F$2:$F$506,"Monday",Bets!$U$2:$U$506,"Push")</f>
        <v/>
      </c>
      <c r="G25">
        <f>COUNTIFS(Bets!$A$2:$A$506,"&lt;&gt;",Bets!$B$2:$B$506,"*",Bets!$F$2:$F$506,"Monday",Bets!$U$2:$U$506,"Pending")</f>
        <v/>
      </c>
      <c r="H25">
        <f>COUNTIFS(Bets!$A$2:$A$506,"&lt;&gt;",Bets!$B$2:$B$506,"*",Bets!$F$2:$F$506,"Monday",Bets!$U$2:$U$506,"Unknown")</f>
        <v/>
      </c>
      <c r="I25" s="9">
        <f>IF(D25+E25=0,"",D25/(D25+E25))</f>
        <v/>
      </c>
      <c r="J25" s="10">
        <f>SUMIFS(Bets!$Q$2:$Q$506,Bets!$A$2:$A$506,"&lt;&gt;",Bets!$B$2:$B$506,"*",Bets!$F$2:$F$506,"Monday")</f>
        <v/>
      </c>
      <c r="K25" s="10">
        <f>SUMIFS(Bets!$AC$2:$AC$506,Bets!$A$2:$A$506,"&lt;&gt;",Bets!$B$2:$B$506,"*",Bets!$F$2:$F$506,"Monday")</f>
        <v/>
      </c>
      <c r="L25" s="11">
        <f>SUMIFS(Bets!$V$2:$V$506,Bets!$A$2:$A$506,"&lt;&gt;",Bets!$B$2:$B$506,"*",Bets!$F$2:$F$506,"Monday")</f>
        <v/>
      </c>
      <c r="M25" s="12">
        <f>IF(K25=0,"",L25/K25)</f>
        <v/>
      </c>
      <c r="N25" s="13">
        <f>SUMIFS(Bets!$AD$2:$AD$506,Bets!$A$2:$A$506,"&lt;&gt;",Bets!$B$2:$B$506,"*",Bets!$F$2:$F$506,"Monday")</f>
        <v/>
      </c>
      <c r="O25" s="14">
        <f>SUMIFS(Bets!$W$2:$W$506,Bets!$A$2:$A$506,"&lt;&gt;",Bets!$B$2:$B$506,"*",Bets!$F$2:$F$506,"Monday")</f>
        <v/>
      </c>
      <c r="P25" s="12">
        <f>IF(N25=0,"",O25/N25)</f>
        <v/>
      </c>
    </row>
    <row r="26">
      <c r="A26" t="inlineStr">
        <is>
          <t>Combined</t>
        </is>
      </c>
      <c r="B26" t="inlineStr">
        <is>
          <t>Tuesday</t>
        </is>
      </c>
      <c r="C26">
        <f>COUNTIFS(Bets!$A$2:$A$506,"&lt;&gt;",Bets!$B$2:$B$506,"*",Bets!$F$2:$F$506,"Tuesday")</f>
        <v/>
      </c>
      <c r="D26">
        <f>COUNTIFS(Bets!$A$2:$A$506,"&lt;&gt;",Bets!$B$2:$B$506,"*",Bets!$F$2:$F$506,"Tuesday",Bets!$U$2:$U$506,"W")</f>
        <v/>
      </c>
      <c r="E26">
        <f>COUNTIFS(Bets!$A$2:$A$506,"&lt;&gt;",Bets!$B$2:$B$506,"*",Bets!$F$2:$F$506,"Tuesday",Bets!$U$2:$U$506,"L")</f>
        <v/>
      </c>
      <c r="F26">
        <f>COUNTIFS(Bets!$A$2:$A$506,"&lt;&gt;",Bets!$B$2:$B$506,"*",Bets!$F$2:$F$506,"Tuesday",Bets!$U$2:$U$506,"Push")</f>
        <v/>
      </c>
      <c r="G26">
        <f>COUNTIFS(Bets!$A$2:$A$506,"&lt;&gt;",Bets!$B$2:$B$506,"*",Bets!$F$2:$F$506,"Tuesday",Bets!$U$2:$U$506,"Pending")</f>
        <v/>
      </c>
      <c r="H26">
        <f>COUNTIFS(Bets!$A$2:$A$506,"&lt;&gt;",Bets!$B$2:$B$506,"*",Bets!$F$2:$F$506,"Tuesday",Bets!$U$2:$U$506,"Unknown")</f>
        <v/>
      </c>
      <c r="I26" s="9">
        <f>IF(D26+E26=0,"",D26/(D26+E26))</f>
        <v/>
      </c>
      <c r="J26" s="10">
        <f>SUMIFS(Bets!$Q$2:$Q$506,Bets!$A$2:$A$506,"&lt;&gt;",Bets!$B$2:$B$506,"*",Bets!$F$2:$F$506,"Tuesday")</f>
        <v/>
      </c>
      <c r="K26" s="10">
        <f>SUMIFS(Bets!$AC$2:$AC$506,Bets!$A$2:$A$506,"&lt;&gt;",Bets!$B$2:$B$506,"*",Bets!$F$2:$F$506,"Tuesday")</f>
        <v/>
      </c>
      <c r="L26" s="11">
        <f>SUMIFS(Bets!$V$2:$V$506,Bets!$A$2:$A$506,"&lt;&gt;",Bets!$B$2:$B$506,"*",Bets!$F$2:$F$506,"Tuesday")</f>
        <v/>
      </c>
      <c r="M26" s="12">
        <f>IF(K26=0,"",L26/K26)</f>
        <v/>
      </c>
      <c r="N26" s="13">
        <f>SUMIFS(Bets!$AD$2:$AD$506,Bets!$A$2:$A$506,"&lt;&gt;",Bets!$B$2:$B$506,"*",Bets!$F$2:$F$506,"Tuesday")</f>
        <v/>
      </c>
      <c r="O26" s="14">
        <f>SUMIFS(Bets!$W$2:$W$506,Bets!$A$2:$A$506,"&lt;&gt;",Bets!$B$2:$B$506,"*",Bets!$F$2:$F$506,"Tuesday")</f>
        <v/>
      </c>
      <c r="P26" s="12">
        <f>IF(N26=0,"",O26/N26)</f>
        <v/>
      </c>
    </row>
    <row r="27">
      <c r="A27" t="inlineStr">
        <is>
          <t>Combined</t>
        </is>
      </c>
      <c r="B27" t="inlineStr">
        <is>
          <t>Wednesday</t>
        </is>
      </c>
      <c r="C27">
        <f>COUNTIFS(Bets!$A$2:$A$506,"&lt;&gt;",Bets!$B$2:$B$506,"*",Bets!$F$2:$F$506,"Wednesday")</f>
        <v/>
      </c>
      <c r="D27">
        <f>COUNTIFS(Bets!$A$2:$A$506,"&lt;&gt;",Bets!$B$2:$B$506,"*",Bets!$F$2:$F$506,"Wednesday",Bets!$U$2:$U$506,"W")</f>
        <v/>
      </c>
      <c r="E27">
        <f>COUNTIFS(Bets!$A$2:$A$506,"&lt;&gt;",Bets!$B$2:$B$506,"*",Bets!$F$2:$F$506,"Wednesday",Bets!$U$2:$U$506,"L")</f>
        <v/>
      </c>
      <c r="F27">
        <f>COUNTIFS(Bets!$A$2:$A$506,"&lt;&gt;",Bets!$B$2:$B$506,"*",Bets!$F$2:$F$506,"Wednesday",Bets!$U$2:$U$506,"Push")</f>
        <v/>
      </c>
      <c r="G27">
        <f>COUNTIFS(Bets!$A$2:$A$506,"&lt;&gt;",Bets!$B$2:$B$506,"*",Bets!$F$2:$F$506,"Wednesday",Bets!$U$2:$U$506,"Pending")</f>
        <v/>
      </c>
      <c r="H27">
        <f>COUNTIFS(Bets!$A$2:$A$506,"&lt;&gt;",Bets!$B$2:$B$506,"*",Bets!$F$2:$F$506,"Wednesday",Bets!$U$2:$U$506,"Unknown")</f>
        <v/>
      </c>
      <c r="I27" s="9">
        <f>IF(D27+E27=0,"",D27/(D27+E27))</f>
        <v/>
      </c>
      <c r="J27" s="10">
        <f>SUMIFS(Bets!$Q$2:$Q$506,Bets!$A$2:$A$506,"&lt;&gt;",Bets!$B$2:$B$506,"*",Bets!$F$2:$F$506,"Wednesday")</f>
        <v/>
      </c>
      <c r="K27" s="10">
        <f>SUMIFS(Bets!$AC$2:$AC$506,Bets!$A$2:$A$506,"&lt;&gt;",Bets!$B$2:$B$506,"*",Bets!$F$2:$F$506,"Wednesday")</f>
        <v/>
      </c>
      <c r="L27" s="11">
        <f>SUMIFS(Bets!$V$2:$V$506,Bets!$A$2:$A$506,"&lt;&gt;",Bets!$B$2:$B$506,"*",Bets!$F$2:$F$506,"Wednesday")</f>
        <v/>
      </c>
      <c r="M27" s="12">
        <f>IF(K27=0,"",L27/K27)</f>
        <v/>
      </c>
      <c r="N27" s="13">
        <f>SUMIFS(Bets!$AD$2:$AD$506,Bets!$A$2:$A$506,"&lt;&gt;",Bets!$B$2:$B$506,"*",Bets!$F$2:$F$506,"Wednesday")</f>
        <v/>
      </c>
      <c r="O27" s="14">
        <f>SUMIFS(Bets!$W$2:$W$506,Bets!$A$2:$A$506,"&lt;&gt;",Bets!$B$2:$B$506,"*",Bets!$F$2:$F$506,"Wednesday")</f>
        <v/>
      </c>
      <c r="P27" s="12">
        <f>IF(N27=0,"",O27/N27)</f>
        <v/>
      </c>
    </row>
    <row r="28">
      <c r="A28" t="inlineStr">
        <is>
          <t>Combined</t>
        </is>
      </c>
      <c r="B28" t="inlineStr">
        <is>
          <t>Thursday</t>
        </is>
      </c>
      <c r="C28">
        <f>COUNTIFS(Bets!$A$2:$A$506,"&lt;&gt;",Bets!$B$2:$B$506,"*",Bets!$F$2:$F$506,"Thursday")</f>
        <v/>
      </c>
      <c r="D28">
        <f>COUNTIFS(Bets!$A$2:$A$506,"&lt;&gt;",Bets!$B$2:$B$506,"*",Bets!$F$2:$F$506,"Thursday",Bets!$U$2:$U$506,"W")</f>
        <v/>
      </c>
      <c r="E28">
        <f>COUNTIFS(Bets!$A$2:$A$506,"&lt;&gt;",Bets!$B$2:$B$506,"*",Bets!$F$2:$F$506,"Thursday",Bets!$U$2:$U$506,"L")</f>
        <v/>
      </c>
      <c r="F28">
        <f>COUNTIFS(Bets!$A$2:$A$506,"&lt;&gt;",Bets!$B$2:$B$506,"*",Bets!$F$2:$F$506,"Thursday",Bets!$U$2:$U$506,"Push")</f>
        <v/>
      </c>
      <c r="G28">
        <f>COUNTIFS(Bets!$A$2:$A$506,"&lt;&gt;",Bets!$B$2:$B$506,"*",Bets!$F$2:$F$506,"Thursday",Bets!$U$2:$U$506,"Pending")</f>
        <v/>
      </c>
      <c r="H28">
        <f>COUNTIFS(Bets!$A$2:$A$506,"&lt;&gt;",Bets!$B$2:$B$506,"*",Bets!$F$2:$F$506,"Thursday",Bets!$U$2:$U$506,"Unknown")</f>
        <v/>
      </c>
      <c r="I28" s="9">
        <f>IF(D28+E28=0,"",D28/(D28+E28))</f>
        <v/>
      </c>
      <c r="J28" s="10">
        <f>SUMIFS(Bets!$Q$2:$Q$506,Bets!$A$2:$A$506,"&lt;&gt;",Bets!$B$2:$B$506,"*",Bets!$F$2:$F$506,"Thursday")</f>
        <v/>
      </c>
      <c r="K28" s="10">
        <f>SUMIFS(Bets!$AC$2:$AC$506,Bets!$A$2:$A$506,"&lt;&gt;",Bets!$B$2:$B$506,"*",Bets!$F$2:$F$506,"Thursday")</f>
        <v/>
      </c>
      <c r="L28" s="11">
        <f>SUMIFS(Bets!$V$2:$V$506,Bets!$A$2:$A$506,"&lt;&gt;",Bets!$B$2:$B$506,"*",Bets!$F$2:$F$506,"Thursday")</f>
        <v/>
      </c>
      <c r="M28" s="12">
        <f>IF(K28=0,"",L28/K28)</f>
        <v/>
      </c>
      <c r="N28" s="13">
        <f>SUMIFS(Bets!$AD$2:$AD$506,Bets!$A$2:$A$506,"&lt;&gt;",Bets!$B$2:$B$506,"*",Bets!$F$2:$F$506,"Thursday")</f>
        <v/>
      </c>
      <c r="O28" s="14">
        <f>SUMIFS(Bets!$W$2:$W$506,Bets!$A$2:$A$506,"&lt;&gt;",Bets!$B$2:$B$506,"*",Bets!$F$2:$F$506,"Thursday")</f>
        <v/>
      </c>
      <c r="P28" s="12">
        <f>IF(N28=0,"",O28/N28)</f>
        <v/>
      </c>
    </row>
    <row r="29">
      <c r="A29" t="inlineStr">
        <is>
          <t>Combined</t>
        </is>
      </c>
      <c r="B29" t="inlineStr">
        <is>
          <t>Friday</t>
        </is>
      </c>
      <c r="C29">
        <f>COUNTIFS(Bets!$A$2:$A$506,"&lt;&gt;",Bets!$B$2:$B$506,"*",Bets!$F$2:$F$506,"Friday")</f>
        <v/>
      </c>
      <c r="D29">
        <f>COUNTIFS(Bets!$A$2:$A$506,"&lt;&gt;",Bets!$B$2:$B$506,"*",Bets!$F$2:$F$506,"Friday",Bets!$U$2:$U$506,"W")</f>
        <v/>
      </c>
      <c r="E29">
        <f>COUNTIFS(Bets!$A$2:$A$506,"&lt;&gt;",Bets!$B$2:$B$506,"*",Bets!$F$2:$F$506,"Friday",Bets!$U$2:$U$506,"L")</f>
        <v/>
      </c>
      <c r="F29">
        <f>COUNTIFS(Bets!$A$2:$A$506,"&lt;&gt;",Bets!$B$2:$B$506,"*",Bets!$F$2:$F$506,"Friday",Bets!$U$2:$U$506,"Push")</f>
        <v/>
      </c>
      <c r="G29">
        <f>COUNTIFS(Bets!$A$2:$A$506,"&lt;&gt;",Bets!$B$2:$B$506,"*",Bets!$F$2:$F$506,"Friday",Bets!$U$2:$U$506,"Pending")</f>
        <v/>
      </c>
      <c r="H29">
        <f>COUNTIFS(Bets!$A$2:$A$506,"&lt;&gt;",Bets!$B$2:$B$506,"*",Bets!$F$2:$F$506,"Friday",Bets!$U$2:$U$506,"Unknown")</f>
        <v/>
      </c>
      <c r="I29" s="9">
        <f>IF(D29+E29=0,"",D29/(D29+E29))</f>
        <v/>
      </c>
      <c r="J29" s="10">
        <f>SUMIFS(Bets!$Q$2:$Q$506,Bets!$A$2:$A$506,"&lt;&gt;",Bets!$B$2:$B$506,"*",Bets!$F$2:$F$506,"Friday")</f>
        <v/>
      </c>
      <c r="K29" s="10">
        <f>SUMIFS(Bets!$AC$2:$AC$506,Bets!$A$2:$A$506,"&lt;&gt;",Bets!$B$2:$B$506,"*",Bets!$F$2:$F$506,"Friday")</f>
        <v/>
      </c>
      <c r="L29" s="11">
        <f>SUMIFS(Bets!$V$2:$V$506,Bets!$A$2:$A$506,"&lt;&gt;",Bets!$B$2:$B$506,"*",Bets!$F$2:$F$506,"Friday")</f>
        <v/>
      </c>
      <c r="M29" s="12">
        <f>IF(K29=0,"",L29/K29)</f>
        <v/>
      </c>
      <c r="N29" s="13">
        <f>SUMIFS(Bets!$AD$2:$AD$506,Bets!$A$2:$A$506,"&lt;&gt;",Bets!$B$2:$B$506,"*",Bets!$F$2:$F$506,"Friday")</f>
        <v/>
      </c>
      <c r="O29" s="14">
        <f>SUMIFS(Bets!$W$2:$W$506,Bets!$A$2:$A$506,"&lt;&gt;",Bets!$B$2:$B$506,"*",Bets!$F$2:$F$506,"Friday")</f>
        <v/>
      </c>
      <c r="P29" s="12">
        <f>IF(N29=0,"",O29/N29)</f>
        <v/>
      </c>
    </row>
    <row r="30">
      <c r="A30" t="inlineStr">
        <is>
          <t>Combined</t>
        </is>
      </c>
      <c r="B30" t="inlineStr">
        <is>
          <t>Saturday</t>
        </is>
      </c>
      <c r="C30">
        <f>COUNTIFS(Bets!$A$2:$A$506,"&lt;&gt;",Bets!$B$2:$B$506,"*",Bets!$F$2:$F$506,"Saturday")</f>
        <v/>
      </c>
      <c r="D30">
        <f>COUNTIFS(Bets!$A$2:$A$506,"&lt;&gt;",Bets!$B$2:$B$506,"*",Bets!$F$2:$F$506,"Saturday",Bets!$U$2:$U$506,"W")</f>
        <v/>
      </c>
      <c r="E30">
        <f>COUNTIFS(Bets!$A$2:$A$506,"&lt;&gt;",Bets!$B$2:$B$506,"*",Bets!$F$2:$F$506,"Saturday",Bets!$U$2:$U$506,"L")</f>
        <v/>
      </c>
      <c r="F30">
        <f>COUNTIFS(Bets!$A$2:$A$506,"&lt;&gt;",Bets!$B$2:$B$506,"*",Bets!$F$2:$F$506,"Saturday",Bets!$U$2:$U$506,"Push")</f>
        <v/>
      </c>
      <c r="G30">
        <f>COUNTIFS(Bets!$A$2:$A$506,"&lt;&gt;",Bets!$B$2:$B$506,"*",Bets!$F$2:$F$506,"Saturday",Bets!$U$2:$U$506,"Pending")</f>
        <v/>
      </c>
      <c r="H30">
        <f>COUNTIFS(Bets!$A$2:$A$506,"&lt;&gt;",Bets!$B$2:$B$506,"*",Bets!$F$2:$F$506,"Saturday",Bets!$U$2:$U$506,"Unknown")</f>
        <v/>
      </c>
      <c r="I30" s="9">
        <f>IF(D30+E30=0,"",D30/(D30+E30))</f>
        <v/>
      </c>
      <c r="J30" s="10">
        <f>SUMIFS(Bets!$Q$2:$Q$506,Bets!$A$2:$A$506,"&lt;&gt;",Bets!$B$2:$B$506,"*",Bets!$F$2:$F$506,"Saturday")</f>
        <v/>
      </c>
      <c r="K30" s="10">
        <f>SUMIFS(Bets!$AC$2:$AC$506,Bets!$A$2:$A$506,"&lt;&gt;",Bets!$B$2:$B$506,"*",Bets!$F$2:$F$506,"Saturday")</f>
        <v/>
      </c>
      <c r="L30" s="11">
        <f>SUMIFS(Bets!$V$2:$V$506,Bets!$A$2:$A$506,"&lt;&gt;",Bets!$B$2:$B$506,"*",Bets!$F$2:$F$506,"Saturday")</f>
        <v/>
      </c>
      <c r="M30" s="12">
        <f>IF(K30=0,"",L30/K30)</f>
        <v/>
      </c>
      <c r="N30" s="13">
        <f>SUMIFS(Bets!$AD$2:$AD$506,Bets!$A$2:$A$506,"&lt;&gt;",Bets!$B$2:$B$506,"*",Bets!$F$2:$F$506,"Saturday")</f>
        <v/>
      </c>
      <c r="O30" s="14">
        <f>SUMIFS(Bets!$W$2:$W$506,Bets!$A$2:$A$506,"&lt;&gt;",Bets!$B$2:$B$506,"*",Bets!$F$2:$F$506,"Saturday")</f>
        <v/>
      </c>
      <c r="P30" s="12">
        <f>IF(N30=0,"",O30/N30)</f>
        <v/>
      </c>
    </row>
    <row r="31">
      <c r="A31" t="inlineStr">
        <is>
          <t>Combined</t>
        </is>
      </c>
      <c r="B31" t="inlineStr">
        <is>
          <t>Sunday</t>
        </is>
      </c>
      <c r="C31">
        <f>COUNTIFS(Bets!$A$2:$A$506,"&lt;&gt;",Bets!$B$2:$B$506,"*",Bets!$F$2:$F$506,"Sunday")</f>
        <v/>
      </c>
      <c r="D31">
        <f>COUNTIFS(Bets!$A$2:$A$506,"&lt;&gt;",Bets!$B$2:$B$506,"*",Bets!$F$2:$F$506,"Sunday",Bets!$U$2:$U$506,"W")</f>
        <v/>
      </c>
      <c r="E31">
        <f>COUNTIFS(Bets!$A$2:$A$506,"&lt;&gt;",Bets!$B$2:$B$506,"*",Bets!$F$2:$F$506,"Sunday",Bets!$U$2:$U$506,"L")</f>
        <v/>
      </c>
      <c r="F31">
        <f>COUNTIFS(Bets!$A$2:$A$506,"&lt;&gt;",Bets!$B$2:$B$506,"*",Bets!$F$2:$F$506,"Sunday",Bets!$U$2:$U$506,"Push")</f>
        <v/>
      </c>
      <c r="G31">
        <f>COUNTIFS(Bets!$A$2:$A$506,"&lt;&gt;",Bets!$B$2:$B$506,"*",Bets!$F$2:$F$506,"Sunday",Bets!$U$2:$U$506,"Pending")</f>
        <v/>
      </c>
      <c r="H31">
        <f>COUNTIFS(Bets!$A$2:$A$506,"&lt;&gt;",Bets!$B$2:$B$506,"*",Bets!$F$2:$F$506,"Sunday",Bets!$U$2:$U$506,"Unknown")</f>
        <v/>
      </c>
      <c r="I31" s="9">
        <f>IF(D31+E31=0,"",D31/(D31+E31))</f>
        <v/>
      </c>
      <c r="J31" s="10">
        <f>SUMIFS(Bets!$Q$2:$Q$506,Bets!$A$2:$A$506,"&lt;&gt;",Bets!$B$2:$B$506,"*",Bets!$F$2:$F$506,"Sunday")</f>
        <v/>
      </c>
      <c r="K31" s="10">
        <f>SUMIFS(Bets!$AC$2:$AC$506,Bets!$A$2:$A$506,"&lt;&gt;",Bets!$B$2:$B$506,"*",Bets!$F$2:$F$506,"Sunday")</f>
        <v/>
      </c>
      <c r="L31" s="11">
        <f>SUMIFS(Bets!$V$2:$V$506,Bets!$A$2:$A$506,"&lt;&gt;",Bets!$B$2:$B$506,"*",Bets!$F$2:$F$506,"Sunday")</f>
        <v/>
      </c>
      <c r="M31" s="12">
        <f>IF(K31=0,"",L31/K31)</f>
        <v/>
      </c>
      <c r="N31" s="13">
        <f>SUMIFS(Bets!$AD$2:$AD$506,Bets!$A$2:$A$506,"&lt;&gt;",Bets!$B$2:$B$506,"*",Bets!$F$2:$F$506,"Sunday")</f>
        <v/>
      </c>
      <c r="O31" s="14">
        <f>SUMIFS(Bets!$W$2:$W$506,Bets!$A$2:$A$506,"&lt;&gt;",Bets!$B$2:$B$506,"*",Bets!$F$2:$F$506,"Sunday")</f>
        <v/>
      </c>
      <c r="P31" s="12">
        <f>IF(N31=0,"",O31/N31)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6" t="inlineStr">
        <is>
          <t>By bet type, singles vs parlays, and by # legs</t>
        </is>
      </c>
    </row>
    <row r="3">
      <c r="A3" s="7" t="inlineStr">
        <is>
          <t>Trent (@BookitWithTrent) – by bet type</t>
        </is>
      </c>
    </row>
    <row r="4">
      <c r="A4" s="8" t="inlineStr">
        <is>
          <t>Bettor</t>
        </is>
      </c>
      <c r="B4" s="8" t="inlineStr">
        <is>
          <t>Bet type</t>
        </is>
      </c>
      <c r="C4" s="8" t="inlineStr">
        <is>
          <t>Bets</t>
        </is>
      </c>
      <c r="D4" s="8" t="inlineStr">
        <is>
          <t>W</t>
        </is>
      </c>
      <c r="E4" s="8" t="inlineStr">
        <is>
          <t>L</t>
        </is>
      </c>
      <c r="F4" s="8" t="inlineStr">
        <is>
          <t>Push</t>
        </is>
      </c>
      <c r="G4" s="8" t="inlineStr">
        <is>
          <t>Pending</t>
        </is>
      </c>
      <c r="H4" s="8" t="inlineStr">
        <is>
          <t>Unknown</t>
        </is>
      </c>
      <c r="I4" s="8" t="inlineStr">
        <is>
          <t>Win % (W/(W+L))</t>
        </is>
      </c>
      <c r="J4" s="8" t="inlineStr">
        <is>
          <t>Total staked $ (all $ bets)</t>
        </is>
      </c>
      <c r="K4" s="8" t="inlineStr">
        <is>
          <t>Settled staked $</t>
        </is>
      </c>
      <c r="L4" s="8" t="inlineStr">
        <is>
          <t>Net P/L $</t>
        </is>
      </c>
      <c r="M4" s="8" t="inlineStr">
        <is>
          <t>ROI (net / settled $)</t>
        </is>
      </c>
      <c r="N4" s="8" t="inlineStr">
        <is>
          <t>Units staked (settled)</t>
        </is>
      </c>
      <c r="O4" s="8" t="inlineStr">
        <is>
          <t>Net units</t>
        </is>
      </c>
      <c r="P4" s="8" t="inlineStr">
        <is>
          <t>ROI (units)</t>
        </is>
      </c>
    </row>
    <row r="5">
      <c r="A5" t="inlineStr">
        <is>
          <t>Trent (@BookitWithTrent)</t>
        </is>
      </c>
      <c r="B5" t="inlineStr">
        <is>
          <t>ML</t>
        </is>
      </c>
      <c r="C5">
        <f>COUNTIFS(Bets!$A$2:$A$506,"&lt;&gt;",Bets!$B$2:$B$506,"Trent",Bets!$L$2:$L$506,"ML")</f>
        <v/>
      </c>
      <c r="D5">
        <f>COUNTIFS(Bets!$A$2:$A$506,"&lt;&gt;",Bets!$B$2:$B$506,"Trent",Bets!$L$2:$L$506,"ML",Bets!$U$2:$U$506,"W")</f>
        <v/>
      </c>
      <c r="E5">
        <f>COUNTIFS(Bets!$A$2:$A$506,"&lt;&gt;",Bets!$B$2:$B$506,"Trent",Bets!$L$2:$L$506,"ML",Bets!$U$2:$U$506,"L")</f>
        <v/>
      </c>
      <c r="F5">
        <f>COUNTIFS(Bets!$A$2:$A$506,"&lt;&gt;",Bets!$B$2:$B$506,"Trent",Bets!$L$2:$L$506,"ML",Bets!$U$2:$U$506,"Push")</f>
        <v/>
      </c>
      <c r="G5">
        <f>COUNTIFS(Bets!$A$2:$A$506,"&lt;&gt;",Bets!$B$2:$B$506,"Trent",Bets!$L$2:$L$506,"ML",Bets!$U$2:$U$506,"Pending")</f>
        <v/>
      </c>
      <c r="H5">
        <f>COUNTIFS(Bets!$A$2:$A$506,"&lt;&gt;",Bets!$B$2:$B$506,"Trent",Bets!$L$2:$L$506,"ML",Bets!$U$2:$U$506,"Unknown")</f>
        <v/>
      </c>
      <c r="I5" s="9">
        <f>IF(D5+E5=0,"",D5/(D5+E5))</f>
        <v/>
      </c>
      <c r="J5" s="10">
        <f>SUMIFS(Bets!$Q$2:$Q$506,Bets!$A$2:$A$506,"&lt;&gt;",Bets!$B$2:$B$506,"Trent",Bets!$L$2:$L$506,"ML")</f>
        <v/>
      </c>
      <c r="K5" s="10">
        <f>SUMIFS(Bets!$AC$2:$AC$506,Bets!$A$2:$A$506,"&lt;&gt;",Bets!$B$2:$B$506,"Trent",Bets!$L$2:$L$506,"ML")</f>
        <v/>
      </c>
      <c r="L5" s="11">
        <f>SUMIFS(Bets!$V$2:$V$506,Bets!$A$2:$A$506,"&lt;&gt;",Bets!$B$2:$B$506,"Trent",Bets!$L$2:$L$506,"ML")</f>
        <v/>
      </c>
      <c r="M5" s="12">
        <f>IF(K5=0,"",L5/K5)</f>
        <v/>
      </c>
      <c r="N5" s="13">
        <f>SUMIFS(Bets!$AD$2:$AD$506,Bets!$A$2:$A$506,"&lt;&gt;",Bets!$B$2:$B$506,"Trent",Bets!$L$2:$L$506,"ML")</f>
        <v/>
      </c>
      <c r="O5" s="14">
        <f>SUMIFS(Bets!$W$2:$W$506,Bets!$A$2:$A$506,"&lt;&gt;",Bets!$B$2:$B$506,"Trent",Bets!$L$2:$L$506,"ML")</f>
        <v/>
      </c>
      <c r="P5" s="12">
        <f>IF(N5=0,"",O5/N5)</f>
        <v/>
      </c>
    </row>
    <row r="6">
      <c r="A6" t="inlineStr">
        <is>
          <t>Trent (@BookitWithTrent)</t>
        </is>
      </c>
      <c r="B6" t="inlineStr">
        <is>
          <t>NRFI</t>
        </is>
      </c>
      <c r="C6">
        <f>COUNTIFS(Bets!$A$2:$A$506,"&lt;&gt;",Bets!$B$2:$B$506,"Trent",Bets!$L$2:$L$506,"NRFI")</f>
        <v/>
      </c>
      <c r="D6">
        <f>COUNTIFS(Bets!$A$2:$A$506,"&lt;&gt;",Bets!$B$2:$B$506,"Trent",Bets!$L$2:$L$506,"NRFI",Bets!$U$2:$U$506,"W")</f>
        <v/>
      </c>
      <c r="E6">
        <f>COUNTIFS(Bets!$A$2:$A$506,"&lt;&gt;",Bets!$B$2:$B$506,"Trent",Bets!$L$2:$L$506,"NRFI",Bets!$U$2:$U$506,"L")</f>
        <v/>
      </c>
      <c r="F6">
        <f>COUNTIFS(Bets!$A$2:$A$506,"&lt;&gt;",Bets!$B$2:$B$506,"Trent",Bets!$L$2:$L$506,"NRFI",Bets!$U$2:$U$506,"Push")</f>
        <v/>
      </c>
      <c r="G6">
        <f>COUNTIFS(Bets!$A$2:$A$506,"&lt;&gt;",Bets!$B$2:$B$506,"Trent",Bets!$L$2:$L$506,"NRFI",Bets!$U$2:$U$506,"Pending")</f>
        <v/>
      </c>
      <c r="H6">
        <f>COUNTIFS(Bets!$A$2:$A$506,"&lt;&gt;",Bets!$B$2:$B$506,"Trent",Bets!$L$2:$L$506,"NRFI",Bets!$U$2:$U$506,"Unknown")</f>
        <v/>
      </c>
      <c r="I6" s="9">
        <f>IF(D6+E6=0,"",D6/(D6+E6))</f>
        <v/>
      </c>
      <c r="J6" s="10">
        <f>SUMIFS(Bets!$Q$2:$Q$506,Bets!$A$2:$A$506,"&lt;&gt;",Bets!$B$2:$B$506,"Trent",Bets!$L$2:$L$506,"NRFI")</f>
        <v/>
      </c>
      <c r="K6" s="10">
        <f>SUMIFS(Bets!$AC$2:$AC$506,Bets!$A$2:$A$506,"&lt;&gt;",Bets!$B$2:$B$506,"Trent",Bets!$L$2:$L$506,"NRFI")</f>
        <v/>
      </c>
      <c r="L6" s="11">
        <f>SUMIFS(Bets!$V$2:$V$506,Bets!$A$2:$A$506,"&lt;&gt;",Bets!$B$2:$B$506,"Trent",Bets!$L$2:$L$506,"NRFI")</f>
        <v/>
      </c>
      <c r="M6" s="12">
        <f>IF(K6=0,"",L6/K6)</f>
        <v/>
      </c>
      <c r="N6" s="13">
        <f>SUMIFS(Bets!$AD$2:$AD$506,Bets!$A$2:$A$506,"&lt;&gt;",Bets!$B$2:$B$506,"Trent",Bets!$L$2:$L$506,"NRFI")</f>
        <v/>
      </c>
      <c r="O6" s="14">
        <f>SUMIFS(Bets!$W$2:$W$506,Bets!$A$2:$A$506,"&lt;&gt;",Bets!$B$2:$B$506,"Trent",Bets!$L$2:$L$506,"NRFI")</f>
        <v/>
      </c>
      <c r="P6" s="12">
        <f>IF(N6=0,"",O6/N6)</f>
        <v/>
      </c>
    </row>
    <row r="7">
      <c r="A7" t="inlineStr">
        <is>
          <t>Trent (@BookitWithTrent)</t>
        </is>
      </c>
      <c r="B7" t="inlineStr">
        <is>
          <t>PrizePicks/DFS</t>
        </is>
      </c>
      <c r="C7">
        <f>COUNTIFS(Bets!$A$2:$A$506,"&lt;&gt;",Bets!$B$2:$B$506,"Trent",Bets!$L$2:$L$506,"PrizePicks/DFS")</f>
        <v/>
      </c>
      <c r="D7">
        <f>COUNTIFS(Bets!$A$2:$A$506,"&lt;&gt;",Bets!$B$2:$B$506,"Trent",Bets!$L$2:$L$506,"PrizePicks/DFS",Bets!$U$2:$U$506,"W")</f>
        <v/>
      </c>
      <c r="E7">
        <f>COUNTIFS(Bets!$A$2:$A$506,"&lt;&gt;",Bets!$B$2:$B$506,"Trent",Bets!$L$2:$L$506,"PrizePicks/DFS",Bets!$U$2:$U$506,"L")</f>
        <v/>
      </c>
      <c r="F7">
        <f>COUNTIFS(Bets!$A$2:$A$506,"&lt;&gt;",Bets!$B$2:$B$506,"Trent",Bets!$L$2:$L$506,"PrizePicks/DFS",Bets!$U$2:$U$506,"Push")</f>
        <v/>
      </c>
      <c r="G7">
        <f>COUNTIFS(Bets!$A$2:$A$506,"&lt;&gt;",Bets!$B$2:$B$506,"Trent",Bets!$L$2:$L$506,"PrizePicks/DFS",Bets!$U$2:$U$506,"Pending")</f>
        <v/>
      </c>
      <c r="H7">
        <f>COUNTIFS(Bets!$A$2:$A$506,"&lt;&gt;",Bets!$B$2:$B$506,"Trent",Bets!$L$2:$L$506,"PrizePicks/DFS",Bets!$U$2:$U$506,"Unknown")</f>
        <v/>
      </c>
      <c r="I7" s="9">
        <f>IF(D7+E7=0,"",D7/(D7+E7))</f>
        <v/>
      </c>
      <c r="J7" s="10">
        <f>SUMIFS(Bets!$Q$2:$Q$506,Bets!$A$2:$A$506,"&lt;&gt;",Bets!$B$2:$B$506,"Trent",Bets!$L$2:$L$506,"PrizePicks/DFS")</f>
        <v/>
      </c>
      <c r="K7" s="10">
        <f>SUMIFS(Bets!$AC$2:$AC$506,Bets!$A$2:$A$506,"&lt;&gt;",Bets!$B$2:$B$506,"Trent",Bets!$L$2:$L$506,"PrizePicks/DFS")</f>
        <v/>
      </c>
      <c r="L7" s="11">
        <f>SUMIFS(Bets!$V$2:$V$506,Bets!$A$2:$A$506,"&lt;&gt;",Bets!$B$2:$B$506,"Trent",Bets!$L$2:$L$506,"PrizePicks/DFS")</f>
        <v/>
      </c>
      <c r="M7" s="12">
        <f>IF(K7=0,"",L7/K7)</f>
        <v/>
      </c>
      <c r="N7" s="13">
        <f>SUMIFS(Bets!$AD$2:$AD$506,Bets!$A$2:$A$506,"&lt;&gt;",Bets!$B$2:$B$506,"Trent",Bets!$L$2:$L$506,"PrizePicks/DFS")</f>
        <v/>
      </c>
      <c r="O7" s="14">
        <f>SUMIFS(Bets!$W$2:$W$506,Bets!$A$2:$A$506,"&lt;&gt;",Bets!$B$2:$B$506,"Trent",Bets!$L$2:$L$506,"PrizePicks/DFS")</f>
        <v/>
      </c>
      <c r="P7" s="12">
        <f>IF(N7=0,"",O7/N7)</f>
        <v/>
      </c>
    </row>
    <row r="8">
      <c r="A8" t="inlineStr">
        <is>
          <t>Trent (@BookitWithTrent)</t>
        </is>
      </c>
      <c r="B8" t="inlineStr">
        <is>
          <t>card</t>
        </is>
      </c>
      <c r="C8">
        <f>COUNTIFS(Bets!$A$2:$A$506,"&lt;&gt;",Bets!$B$2:$B$506,"Trent",Bets!$L$2:$L$506,"card")</f>
        <v/>
      </c>
      <c r="D8">
        <f>COUNTIFS(Bets!$A$2:$A$506,"&lt;&gt;",Bets!$B$2:$B$506,"Trent",Bets!$L$2:$L$506,"card",Bets!$U$2:$U$506,"W")</f>
        <v/>
      </c>
      <c r="E8">
        <f>COUNTIFS(Bets!$A$2:$A$506,"&lt;&gt;",Bets!$B$2:$B$506,"Trent",Bets!$L$2:$L$506,"card",Bets!$U$2:$U$506,"L")</f>
        <v/>
      </c>
      <c r="F8">
        <f>COUNTIFS(Bets!$A$2:$A$506,"&lt;&gt;",Bets!$B$2:$B$506,"Trent",Bets!$L$2:$L$506,"card",Bets!$U$2:$U$506,"Push")</f>
        <v/>
      </c>
      <c r="G8">
        <f>COUNTIFS(Bets!$A$2:$A$506,"&lt;&gt;",Bets!$B$2:$B$506,"Trent",Bets!$L$2:$L$506,"card",Bets!$U$2:$U$506,"Pending")</f>
        <v/>
      </c>
      <c r="H8">
        <f>COUNTIFS(Bets!$A$2:$A$506,"&lt;&gt;",Bets!$B$2:$B$506,"Trent",Bets!$L$2:$L$506,"card",Bets!$U$2:$U$506,"Unknown")</f>
        <v/>
      </c>
      <c r="I8" s="9">
        <f>IF(D8+E8=0,"",D8/(D8+E8))</f>
        <v/>
      </c>
      <c r="J8" s="10">
        <f>SUMIFS(Bets!$Q$2:$Q$506,Bets!$A$2:$A$506,"&lt;&gt;",Bets!$B$2:$B$506,"Trent",Bets!$L$2:$L$506,"card")</f>
        <v/>
      </c>
      <c r="K8" s="10">
        <f>SUMIFS(Bets!$AC$2:$AC$506,Bets!$A$2:$A$506,"&lt;&gt;",Bets!$B$2:$B$506,"Trent",Bets!$L$2:$L$506,"card")</f>
        <v/>
      </c>
      <c r="L8" s="11">
        <f>SUMIFS(Bets!$V$2:$V$506,Bets!$A$2:$A$506,"&lt;&gt;",Bets!$B$2:$B$506,"Trent",Bets!$L$2:$L$506,"card")</f>
        <v/>
      </c>
      <c r="M8" s="12">
        <f>IF(K8=0,"",L8/K8)</f>
        <v/>
      </c>
      <c r="N8" s="13">
        <f>SUMIFS(Bets!$AD$2:$AD$506,Bets!$A$2:$A$506,"&lt;&gt;",Bets!$B$2:$B$506,"Trent",Bets!$L$2:$L$506,"card")</f>
        <v/>
      </c>
      <c r="O8" s="14">
        <f>SUMIFS(Bets!$W$2:$W$506,Bets!$A$2:$A$506,"&lt;&gt;",Bets!$B$2:$B$506,"Trent",Bets!$L$2:$L$506,"card")</f>
        <v/>
      </c>
      <c r="P8" s="12">
        <f>IF(N8=0,"",O8/N8)</f>
        <v/>
      </c>
    </row>
    <row r="9">
      <c r="A9" t="inlineStr">
        <is>
          <t>Trent (@BookitWithTrent)</t>
        </is>
      </c>
      <c r="B9" t="inlineStr">
        <is>
          <t>double chance</t>
        </is>
      </c>
      <c r="C9">
        <f>COUNTIFS(Bets!$A$2:$A$506,"&lt;&gt;",Bets!$B$2:$B$506,"Trent",Bets!$L$2:$L$506,"double chance")</f>
        <v/>
      </c>
      <c r="D9">
        <f>COUNTIFS(Bets!$A$2:$A$506,"&lt;&gt;",Bets!$B$2:$B$506,"Trent",Bets!$L$2:$L$506,"double chance",Bets!$U$2:$U$506,"W")</f>
        <v/>
      </c>
      <c r="E9">
        <f>COUNTIFS(Bets!$A$2:$A$506,"&lt;&gt;",Bets!$B$2:$B$506,"Trent",Bets!$L$2:$L$506,"double chance",Bets!$U$2:$U$506,"L")</f>
        <v/>
      </c>
      <c r="F9">
        <f>COUNTIFS(Bets!$A$2:$A$506,"&lt;&gt;",Bets!$B$2:$B$506,"Trent",Bets!$L$2:$L$506,"double chance",Bets!$U$2:$U$506,"Push")</f>
        <v/>
      </c>
      <c r="G9">
        <f>COUNTIFS(Bets!$A$2:$A$506,"&lt;&gt;",Bets!$B$2:$B$506,"Trent",Bets!$L$2:$L$506,"double chance",Bets!$U$2:$U$506,"Pending")</f>
        <v/>
      </c>
      <c r="H9">
        <f>COUNTIFS(Bets!$A$2:$A$506,"&lt;&gt;",Bets!$B$2:$B$506,"Trent",Bets!$L$2:$L$506,"double chance",Bets!$U$2:$U$506,"Unknown")</f>
        <v/>
      </c>
      <c r="I9" s="9">
        <f>IF(D9+E9=0,"",D9/(D9+E9))</f>
        <v/>
      </c>
      <c r="J9" s="10">
        <f>SUMIFS(Bets!$Q$2:$Q$506,Bets!$A$2:$A$506,"&lt;&gt;",Bets!$B$2:$B$506,"Trent",Bets!$L$2:$L$506,"double chance")</f>
        <v/>
      </c>
      <c r="K9" s="10">
        <f>SUMIFS(Bets!$AC$2:$AC$506,Bets!$A$2:$A$506,"&lt;&gt;",Bets!$B$2:$B$506,"Trent",Bets!$L$2:$L$506,"double chance")</f>
        <v/>
      </c>
      <c r="L9" s="11">
        <f>SUMIFS(Bets!$V$2:$V$506,Bets!$A$2:$A$506,"&lt;&gt;",Bets!$B$2:$B$506,"Trent",Bets!$L$2:$L$506,"double chance")</f>
        <v/>
      </c>
      <c r="M9" s="12">
        <f>IF(K9=0,"",L9/K9)</f>
        <v/>
      </c>
      <c r="N9" s="13">
        <f>SUMIFS(Bets!$AD$2:$AD$506,Bets!$A$2:$A$506,"&lt;&gt;",Bets!$B$2:$B$506,"Trent",Bets!$L$2:$L$506,"double chance")</f>
        <v/>
      </c>
      <c r="O9" s="14">
        <f>SUMIFS(Bets!$W$2:$W$506,Bets!$A$2:$A$506,"&lt;&gt;",Bets!$B$2:$B$506,"Trent",Bets!$L$2:$L$506,"double chance")</f>
        <v/>
      </c>
      <c r="P9" s="12">
        <f>IF(N9=0,"",O9/N9)</f>
        <v/>
      </c>
    </row>
    <row r="10">
      <c r="A10" t="inlineStr">
        <is>
          <t>Trent (@BookitWithTrent)</t>
        </is>
      </c>
      <c r="B10" t="inlineStr">
        <is>
          <t>first TD</t>
        </is>
      </c>
      <c r="C10">
        <f>COUNTIFS(Bets!$A$2:$A$506,"&lt;&gt;",Bets!$B$2:$B$506,"Trent",Bets!$L$2:$L$506,"first TD")</f>
        <v/>
      </c>
      <c r="D10">
        <f>COUNTIFS(Bets!$A$2:$A$506,"&lt;&gt;",Bets!$B$2:$B$506,"Trent",Bets!$L$2:$L$506,"first TD",Bets!$U$2:$U$506,"W")</f>
        <v/>
      </c>
      <c r="E10">
        <f>COUNTIFS(Bets!$A$2:$A$506,"&lt;&gt;",Bets!$B$2:$B$506,"Trent",Bets!$L$2:$L$506,"first TD",Bets!$U$2:$U$506,"L")</f>
        <v/>
      </c>
      <c r="F10">
        <f>COUNTIFS(Bets!$A$2:$A$506,"&lt;&gt;",Bets!$B$2:$B$506,"Trent",Bets!$L$2:$L$506,"first TD",Bets!$U$2:$U$506,"Push")</f>
        <v/>
      </c>
      <c r="G10">
        <f>COUNTIFS(Bets!$A$2:$A$506,"&lt;&gt;",Bets!$B$2:$B$506,"Trent",Bets!$L$2:$L$506,"first TD",Bets!$U$2:$U$506,"Pending")</f>
        <v/>
      </c>
      <c r="H10">
        <f>COUNTIFS(Bets!$A$2:$A$506,"&lt;&gt;",Bets!$B$2:$B$506,"Trent",Bets!$L$2:$L$506,"first TD",Bets!$U$2:$U$506,"Unknown")</f>
        <v/>
      </c>
      <c r="I10" s="9">
        <f>IF(D10+E10=0,"",D10/(D10+E10))</f>
        <v/>
      </c>
      <c r="J10" s="10">
        <f>SUMIFS(Bets!$Q$2:$Q$506,Bets!$A$2:$A$506,"&lt;&gt;",Bets!$B$2:$B$506,"Trent",Bets!$L$2:$L$506,"first TD")</f>
        <v/>
      </c>
      <c r="K10" s="10">
        <f>SUMIFS(Bets!$AC$2:$AC$506,Bets!$A$2:$A$506,"&lt;&gt;",Bets!$B$2:$B$506,"Trent",Bets!$L$2:$L$506,"first TD")</f>
        <v/>
      </c>
      <c r="L10" s="11">
        <f>SUMIFS(Bets!$V$2:$V$506,Bets!$A$2:$A$506,"&lt;&gt;",Bets!$B$2:$B$506,"Trent",Bets!$L$2:$L$506,"first TD")</f>
        <v/>
      </c>
      <c r="M10" s="12">
        <f>IF(K10=0,"",L10/K10)</f>
        <v/>
      </c>
      <c r="N10" s="13">
        <f>SUMIFS(Bets!$AD$2:$AD$506,Bets!$A$2:$A$506,"&lt;&gt;",Bets!$B$2:$B$506,"Trent",Bets!$L$2:$L$506,"first TD")</f>
        <v/>
      </c>
      <c r="O10" s="14">
        <f>SUMIFS(Bets!$W$2:$W$506,Bets!$A$2:$A$506,"&lt;&gt;",Bets!$B$2:$B$506,"Trent",Bets!$L$2:$L$506,"first TD")</f>
        <v/>
      </c>
      <c r="P10" s="12">
        <f>IF(N10=0,"",O10/N10)</f>
        <v/>
      </c>
    </row>
    <row r="11">
      <c r="A11" t="inlineStr">
        <is>
          <t>Trent (@BookitWithTrent)</t>
        </is>
      </c>
      <c r="B11" t="inlineStr">
        <is>
          <t>futures</t>
        </is>
      </c>
      <c r="C11">
        <f>COUNTIFS(Bets!$A$2:$A$506,"&lt;&gt;",Bets!$B$2:$B$506,"Trent",Bets!$L$2:$L$506,"futures")</f>
        <v/>
      </c>
      <c r="D11">
        <f>COUNTIFS(Bets!$A$2:$A$506,"&lt;&gt;",Bets!$B$2:$B$506,"Trent",Bets!$L$2:$L$506,"futures",Bets!$U$2:$U$506,"W")</f>
        <v/>
      </c>
      <c r="E11">
        <f>COUNTIFS(Bets!$A$2:$A$506,"&lt;&gt;",Bets!$B$2:$B$506,"Trent",Bets!$L$2:$L$506,"futures",Bets!$U$2:$U$506,"L")</f>
        <v/>
      </c>
      <c r="F11">
        <f>COUNTIFS(Bets!$A$2:$A$506,"&lt;&gt;",Bets!$B$2:$B$506,"Trent",Bets!$L$2:$L$506,"futures",Bets!$U$2:$U$506,"Push")</f>
        <v/>
      </c>
      <c r="G11">
        <f>COUNTIFS(Bets!$A$2:$A$506,"&lt;&gt;",Bets!$B$2:$B$506,"Trent",Bets!$L$2:$L$506,"futures",Bets!$U$2:$U$506,"Pending")</f>
        <v/>
      </c>
      <c r="H11">
        <f>COUNTIFS(Bets!$A$2:$A$506,"&lt;&gt;",Bets!$B$2:$B$506,"Trent",Bets!$L$2:$L$506,"futures",Bets!$U$2:$U$506,"Unknown")</f>
        <v/>
      </c>
      <c r="I11" s="9">
        <f>IF(D11+E11=0,"",D11/(D11+E11))</f>
        <v/>
      </c>
      <c r="J11" s="10">
        <f>SUMIFS(Bets!$Q$2:$Q$506,Bets!$A$2:$A$506,"&lt;&gt;",Bets!$B$2:$B$506,"Trent",Bets!$L$2:$L$506,"futures")</f>
        <v/>
      </c>
      <c r="K11" s="10">
        <f>SUMIFS(Bets!$AC$2:$AC$506,Bets!$A$2:$A$506,"&lt;&gt;",Bets!$B$2:$B$506,"Trent",Bets!$L$2:$L$506,"futures")</f>
        <v/>
      </c>
      <c r="L11" s="11">
        <f>SUMIFS(Bets!$V$2:$V$506,Bets!$A$2:$A$506,"&lt;&gt;",Bets!$B$2:$B$506,"Trent",Bets!$L$2:$L$506,"futures")</f>
        <v/>
      </c>
      <c r="M11" s="12">
        <f>IF(K11=0,"",L11/K11)</f>
        <v/>
      </c>
      <c r="N11" s="13">
        <f>SUMIFS(Bets!$AD$2:$AD$506,Bets!$A$2:$A$506,"&lt;&gt;",Bets!$B$2:$B$506,"Trent",Bets!$L$2:$L$506,"futures")</f>
        <v/>
      </c>
      <c r="O11" s="14">
        <f>SUMIFS(Bets!$W$2:$W$506,Bets!$A$2:$A$506,"&lt;&gt;",Bets!$B$2:$B$506,"Trent",Bets!$L$2:$L$506,"futures")</f>
        <v/>
      </c>
      <c r="P11" s="12">
        <f>IF(N11=0,"",O11/N11)</f>
        <v/>
      </c>
    </row>
    <row r="12">
      <c r="A12" t="inlineStr">
        <is>
          <t>Trent (@BookitWithTrent)</t>
        </is>
      </c>
      <c r="B12" t="inlineStr">
        <is>
          <t>other</t>
        </is>
      </c>
      <c r="C12">
        <f>COUNTIFS(Bets!$A$2:$A$506,"&lt;&gt;",Bets!$B$2:$B$506,"Trent",Bets!$L$2:$L$506,"other")</f>
        <v/>
      </c>
      <c r="D12">
        <f>COUNTIFS(Bets!$A$2:$A$506,"&lt;&gt;",Bets!$B$2:$B$506,"Trent",Bets!$L$2:$L$506,"other",Bets!$U$2:$U$506,"W")</f>
        <v/>
      </c>
      <c r="E12">
        <f>COUNTIFS(Bets!$A$2:$A$506,"&lt;&gt;",Bets!$B$2:$B$506,"Trent",Bets!$L$2:$L$506,"other",Bets!$U$2:$U$506,"L")</f>
        <v/>
      </c>
      <c r="F12">
        <f>COUNTIFS(Bets!$A$2:$A$506,"&lt;&gt;",Bets!$B$2:$B$506,"Trent",Bets!$L$2:$L$506,"other",Bets!$U$2:$U$506,"Push")</f>
        <v/>
      </c>
      <c r="G12">
        <f>COUNTIFS(Bets!$A$2:$A$506,"&lt;&gt;",Bets!$B$2:$B$506,"Trent",Bets!$L$2:$L$506,"other",Bets!$U$2:$U$506,"Pending")</f>
        <v/>
      </c>
      <c r="H12">
        <f>COUNTIFS(Bets!$A$2:$A$506,"&lt;&gt;",Bets!$B$2:$B$506,"Trent",Bets!$L$2:$L$506,"other",Bets!$U$2:$U$506,"Unknown")</f>
        <v/>
      </c>
      <c r="I12" s="9">
        <f>IF(D12+E12=0,"",D12/(D12+E12))</f>
        <v/>
      </c>
      <c r="J12" s="10">
        <f>SUMIFS(Bets!$Q$2:$Q$506,Bets!$A$2:$A$506,"&lt;&gt;",Bets!$B$2:$B$506,"Trent",Bets!$L$2:$L$506,"other")</f>
        <v/>
      </c>
      <c r="K12" s="10">
        <f>SUMIFS(Bets!$AC$2:$AC$506,Bets!$A$2:$A$506,"&lt;&gt;",Bets!$B$2:$B$506,"Trent",Bets!$L$2:$L$506,"other")</f>
        <v/>
      </c>
      <c r="L12" s="11">
        <f>SUMIFS(Bets!$V$2:$V$506,Bets!$A$2:$A$506,"&lt;&gt;",Bets!$B$2:$B$506,"Trent",Bets!$L$2:$L$506,"other")</f>
        <v/>
      </c>
      <c r="M12" s="12">
        <f>IF(K12=0,"",L12/K12)</f>
        <v/>
      </c>
      <c r="N12" s="13">
        <f>SUMIFS(Bets!$AD$2:$AD$506,Bets!$A$2:$A$506,"&lt;&gt;",Bets!$B$2:$B$506,"Trent",Bets!$L$2:$L$506,"other")</f>
        <v/>
      </c>
      <c r="O12" s="14">
        <f>SUMIFS(Bets!$W$2:$W$506,Bets!$A$2:$A$506,"&lt;&gt;",Bets!$B$2:$B$506,"Trent",Bets!$L$2:$L$506,"other")</f>
        <v/>
      </c>
      <c r="P12" s="12">
        <f>IF(N12=0,"",O12/N12)</f>
        <v/>
      </c>
    </row>
    <row r="13">
      <c r="A13" t="inlineStr">
        <is>
          <t>Trent (@BookitWithTrent)</t>
        </is>
      </c>
      <c r="B13" t="inlineStr">
        <is>
          <t>parlay</t>
        </is>
      </c>
      <c r="C13">
        <f>COUNTIFS(Bets!$A$2:$A$506,"&lt;&gt;",Bets!$B$2:$B$506,"Trent",Bets!$L$2:$L$506,"parlay")</f>
        <v/>
      </c>
      <c r="D13">
        <f>COUNTIFS(Bets!$A$2:$A$506,"&lt;&gt;",Bets!$B$2:$B$506,"Trent",Bets!$L$2:$L$506,"parlay",Bets!$U$2:$U$506,"W")</f>
        <v/>
      </c>
      <c r="E13">
        <f>COUNTIFS(Bets!$A$2:$A$506,"&lt;&gt;",Bets!$B$2:$B$506,"Trent",Bets!$L$2:$L$506,"parlay",Bets!$U$2:$U$506,"L")</f>
        <v/>
      </c>
      <c r="F13">
        <f>COUNTIFS(Bets!$A$2:$A$506,"&lt;&gt;",Bets!$B$2:$B$506,"Trent",Bets!$L$2:$L$506,"parlay",Bets!$U$2:$U$506,"Push")</f>
        <v/>
      </c>
      <c r="G13">
        <f>COUNTIFS(Bets!$A$2:$A$506,"&lt;&gt;",Bets!$B$2:$B$506,"Trent",Bets!$L$2:$L$506,"parlay",Bets!$U$2:$U$506,"Pending")</f>
        <v/>
      </c>
      <c r="H13">
        <f>COUNTIFS(Bets!$A$2:$A$506,"&lt;&gt;",Bets!$B$2:$B$506,"Trent",Bets!$L$2:$L$506,"parlay",Bets!$U$2:$U$506,"Unknown")</f>
        <v/>
      </c>
      <c r="I13" s="9">
        <f>IF(D13+E13=0,"",D13/(D13+E13))</f>
        <v/>
      </c>
      <c r="J13" s="10">
        <f>SUMIFS(Bets!$Q$2:$Q$506,Bets!$A$2:$A$506,"&lt;&gt;",Bets!$B$2:$B$506,"Trent",Bets!$L$2:$L$506,"parlay")</f>
        <v/>
      </c>
      <c r="K13" s="10">
        <f>SUMIFS(Bets!$AC$2:$AC$506,Bets!$A$2:$A$506,"&lt;&gt;",Bets!$B$2:$B$506,"Trent",Bets!$L$2:$L$506,"parlay")</f>
        <v/>
      </c>
      <c r="L13" s="11">
        <f>SUMIFS(Bets!$V$2:$V$506,Bets!$A$2:$A$506,"&lt;&gt;",Bets!$B$2:$B$506,"Trent",Bets!$L$2:$L$506,"parlay")</f>
        <v/>
      </c>
      <c r="M13" s="12">
        <f>IF(K13=0,"",L13/K13)</f>
        <v/>
      </c>
      <c r="N13" s="13">
        <f>SUMIFS(Bets!$AD$2:$AD$506,Bets!$A$2:$A$506,"&lt;&gt;",Bets!$B$2:$B$506,"Trent",Bets!$L$2:$L$506,"parlay")</f>
        <v/>
      </c>
      <c r="O13" s="14">
        <f>SUMIFS(Bets!$W$2:$W$506,Bets!$A$2:$A$506,"&lt;&gt;",Bets!$B$2:$B$506,"Trent",Bets!$L$2:$L$506,"parlay")</f>
        <v/>
      </c>
      <c r="P13" s="12">
        <f>IF(N13=0,"",O13/N13)</f>
        <v/>
      </c>
    </row>
    <row r="14">
      <c r="A14" t="inlineStr">
        <is>
          <t>Trent (@BookitWithTrent)</t>
        </is>
      </c>
      <c r="B14" t="inlineStr">
        <is>
          <t>prop</t>
        </is>
      </c>
      <c r="C14">
        <f>COUNTIFS(Bets!$A$2:$A$506,"&lt;&gt;",Bets!$B$2:$B$506,"Trent",Bets!$L$2:$L$506,"prop")</f>
        <v/>
      </c>
      <c r="D14">
        <f>COUNTIFS(Bets!$A$2:$A$506,"&lt;&gt;",Bets!$B$2:$B$506,"Trent",Bets!$L$2:$L$506,"prop",Bets!$U$2:$U$506,"W")</f>
        <v/>
      </c>
      <c r="E14">
        <f>COUNTIFS(Bets!$A$2:$A$506,"&lt;&gt;",Bets!$B$2:$B$506,"Trent",Bets!$L$2:$L$506,"prop",Bets!$U$2:$U$506,"L")</f>
        <v/>
      </c>
      <c r="F14">
        <f>COUNTIFS(Bets!$A$2:$A$506,"&lt;&gt;",Bets!$B$2:$B$506,"Trent",Bets!$L$2:$L$506,"prop",Bets!$U$2:$U$506,"Push")</f>
        <v/>
      </c>
      <c r="G14">
        <f>COUNTIFS(Bets!$A$2:$A$506,"&lt;&gt;",Bets!$B$2:$B$506,"Trent",Bets!$L$2:$L$506,"prop",Bets!$U$2:$U$506,"Pending")</f>
        <v/>
      </c>
      <c r="H14">
        <f>COUNTIFS(Bets!$A$2:$A$506,"&lt;&gt;",Bets!$B$2:$B$506,"Trent",Bets!$L$2:$L$506,"prop",Bets!$U$2:$U$506,"Unknown")</f>
        <v/>
      </c>
      <c r="I14" s="9">
        <f>IF(D14+E14=0,"",D14/(D14+E14))</f>
        <v/>
      </c>
      <c r="J14" s="10">
        <f>SUMIFS(Bets!$Q$2:$Q$506,Bets!$A$2:$A$506,"&lt;&gt;",Bets!$B$2:$B$506,"Trent",Bets!$L$2:$L$506,"prop")</f>
        <v/>
      </c>
      <c r="K14" s="10">
        <f>SUMIFS(Bets!$AC$2:$AC$506,Bets!$A$2:$A$506,"&lt;&gt;",Bets!$B$2:$B$506,"Trent",Bets!$L$2:$L$506,"prop")</f>
        <v/>
      </c>
      <c r="L14" s="11">
        <f>SUMIFS(Bets!$V$2:$V$506,Bets!$A$2:$A$506,"&lt;&gt;",Bets!$B$2:$B$506,"Trent",Bets!$L$2:$L$506,"prop")</f>
        <v/>
      </c>
      <c r="M14" s="12">
        <f>IF(K14=0,"",L14/K14)</f>
        <v/>
      </c>
      <c r="N14" s="13">
        <f>SUMIFS(Bets!$AD$2:$AD$506,Bets!$A$2:$A$506,"&lt;&gt;",Bets!$B$2:$B$506,"Trent",Bets!$L$2:$L$506,"prop")</f>
        <v/>
      </c>
      <c r="O14" s="14">
        <f>SUMIFS(Bets!$W$2:$W$506,Bets!$A$2:$A$506,"&lt;&gt;",Bets!$B$2:$B$506,"Trent",Bets!$L$2:$L$506,"prop")</f>
        <v/>
      </c>
      <c r="P14" s="12">
        <f>IF(N14=0,"",O14/N14)</f>
        <v/>
      </c>
    </row>
    <row r="15">
      <c r="A15" t="inlineStr">
        <is>
          <t>Trent (@BookitWithTrent)</t>
        </is>
      </c>
      <c r="B15" t="inlineStr">
        <is>
          <t>spread</t>
        </is>
      </c>
      <c r="C15">
        <f>COUNTIFS(Bets!$A$2:$A$506,"&lt;&gt;",Bets!$B$2:$B$506,"Trent",Bets!$L$2:$L$506,"spread")</f>
        <v/>
      </c>
      <c r="D15">
        <f>COUNTIFS(Bets!$A$2:$A$506,"&lt;&gt;",Bets!$B$2:$B$506,"Trent",Bets!$L$2:$L$506,"spread",Bets!$U$2:$U$506,"W")</f>
        <v/>
      </c>
      <c r="E15">
        <f>COUNTIFS(Bets!$A$2:$A$506,"&lt;&gt;",Bets!$B$2:$B$506,"Trent",Bets!$L$2:$L$506,"spread",Bets!$U$2:$U$506,"L")</f>
        <v/>
      </c>
      <c r="F15">
        <f>COUNTIFS(Bets!$A$2:$A$506,"&lt;&gt;",Bets!$B$2:$B$506,"Trent",Bets!$L$2:$L$506,"spread",Bets!$U$2:$U$506,"Push")</f>
        <v/>
      </c>
      <c r="G15">
        <f>COUNTIFS(Bets!$A$2:$A$506,"&lt;&gt;",Bets!$B$2:$B$506,"Trent",Bets!$L$2:$L$506,"spread",Bets!$U$2:$U$506,"Pending")</f>
        <v/>
      </c>
      <c r="H15">
        <f>COUNTIFS(Bets!$A$2:$A$506,"&lt;&gt;",Bets!$B$2:$B$506,"Trent",Bets!$L$2:$L$506,"spread",Bets!$U$2:$U$506,"Unknown")</f>
        <v/>
      </c>
      <c r="I15" s="9">
        <f>IF(D15+E15=0,"",D15/(D15+E15))</f>
        <v/>
      </c>
      <c r="J15" s="10">
        <f>SUMIFS(Bets!$Q$2:$Q$506,Bets!$A$2:$A$506,"&lt;&gt;",Bets!$B$2:$B$506,"Trent",Bets!$L$2:$L$506,"spread")</f>
        <v/>
      </c>
      <c r="K15" s="10">
        <f>SUMIFS(Bets!$AC$2:$AC$506,Bets!$A$2:$A$506,"&lt;&gt;",Bets!$B$2:$B$506,"Trent",Bets!$L$2:$L$506,"spread")</f>
        <v/>
      </c>
      <c r="L15" s="11">
        <f>SUMIFS(Bets!$V$2:$V$506,Bets!$A$2:$A$506,"&lt;&gt;",Bets!$B$2:$B$506,"Trent",Bets!$L$2:$L$506,"spread")</f>
        <v/>
      </c>
      <c r="M15" s="12">
        <f>IF(K15=0,"",L15/K15)</f>
        <v/>
      </c>
      <c r="N15" s="13">
        <f>SUMIFS(Bets!$AD$2:$AD$506,Bets!$A$2:$A$506,"&lt;&gt;",Bets!$B$2:$B$506,"Trent",Bets!$L$2:$L$506,"spread")</f>
        <v/>
      </c>
      <c r="O15" s="14">
        <f>SUMIFS(Bets!$W$2:$W$506,Bets!$A$2:$A$506,"&lt;&gt;",Bets!$B$2:$B$506,"Trent",Bets!$L$2:$L$506,"spread")</f>
        <v/>
      </c>
      <c r="P15" s="12">
        <f>IF(N15=0,"",O15/N15)</f>
        <v/>
      </c>
    </row>
    <row r="16">
      <c r="A16" t="inlineStr">
        <is>
          <t>Trent (@BookitWithTrent)</t>
        </is>
      </c>
      <c r="B16" t="inlineStr">
        <is>
          <t>total</t>
        </is>
      </c>
      <c r="C16">
        <f>COUNTIFS(Bets!$A$2:$A$506,"&lt;&gt;",Bets!$B$2:$B$506,"Trent",Bets!$L$2:$L$506,"total")</f>
        <v/>
      </c>
      <c r="D16">
        <f>COUNTIFS(Bets!$A$2:$A$506,"&lt;&gt;",Bets!$B$2:$B$506,"Trent",Bets!$L$2:$L$506,"total",Bets!$U$2:$U$506,"W")</f>
        <v/>
      </c>
      <c r="E16">
        <f>COUNTIFS(Bets!$A$2:$A$506,"&lt;&gt;",Bets!$B$2:$B$506,"Trent",Bets!$L$2:$L$506,"total",Bets!$U$2:$U$506,"L")</f>
        <v/>
      </c>
      <c r="F16">
        <f>COUNTIFS(Bets!$A$2:$A$506,"&lt;&gt;",Bets!$B$2:$B$506,"Trent",Bets!$L$2:$L$506,"total",Bets!$U$2:$U$506,"Push")</f>
        <v/>
      </c>
      <c r="G16">
        <f>COUNTIFS(Bets!$A$2:$A$506,"&lt;&gt;",Bets!$B$2:$B$506,"Trent",Bets!$L$2:$L$506,"total",Bets!$U$2:$U$506,"Pending")</f>
        <v/>
      </c>
      <c r="H16">
        <f>COUNTIFS(Bets!$A$2:$A$506,"&lt;&gt;",Bets!$B$2:$B$506,"Trent",Bets!$L$2:$L$506,"total",Bets!$U$2:$U$506,"Unknown")</f>
        <v/>
      </c>
      <c r="I16" s="9">
        <f>IF(D16+E16=0,"",D16/(D16+E16))</f>
        <v/>
      </c>
      <c r="J16" s="10">
        <f>SUMIFS(Bets!$Q$2:$Q$506,Bets!$A$2:$A$506,"&lt;&gt;",Bets!$B$2:$B$506,"Trent",Bets!$L$2:$L$506,"total")</f>
        <v/>
      </c>
      <c r="K16" s="10">
        <f>SUMIFS(Bets!$AC$2:$AC$506,Bets!$A$2:$A$506,"&lt;&gt;",Bets!$B$2:$B$506,"Trent",Bets!$L$2:$L$506,"total")</f>
        <v/>
      </c>
      <c r="L16" s="11">
        <f>SUMIFS(Bets!$V$2:$V$506,Bets!$A$2:$A$506,"&lt;&gt;",Bets!$B$2:$B$506,"Trent",Bets!$L$2:$L$506,"total")</f>
        <v/>
      </c>
      <c r="M16" s="12">
        <f>IF(K16=0,"",L16/K16)</f>
        <v/>
      </c>
      <c r="N16" s="13">
        <f>SUMIFS(Bets!$AD$2:$AD$506,Bets!$A$2:$A$506,"&lt;&gt;",Bets!$B$2:$B$506,"Trent",Bets!$L$2:$L$506,"total")</f>
        <v/>
      </c>
      <c r="O16" s="14">
        <f>SUMIFS(Bets!$W$2:$W$506,Bets!$A$2:$A$506,"&lt;&gt;",Bets!$B$2:$B$506,"Trent",Bets!$L$2:$L$506,"total")</f>
        <v/>
      </c>
      <c r="P16" s="12">
        <f>IF(N16=0,"",O16/N16)</f>
        <v/>
      </c>
    </row>
    <row r="18">
      <c r="A18" s="7" t="inlineStr">
        <is>
          <t>Steve (@stevewilldoit) – by bet type</t>
        </is>
      </c>
    </row>
    <row r="19">
      <c r="A19" s="8" t="inlineStr">
        <is>
          <t>Bettor</t>
        </is>
      </c>
      <c r="B19" s="8" t="inlineStr">
        <is>
          <t>Bet type</t>
        </is>
      </c>
      <c r="C19" s="8" t="inlineStr">
        <is>
          <t>Bets</t>
        </is>
      </c>
      <c r="D19" s="8" t="inlineStr">
        <is>
          <t>W</t>
        </is>
      </c>
      <c r="E19" s="8" t="inlineStr">
        <is>
          <t>L</t>
        </is>
      </c>
      <c r="F19" s="8" t="inlineStr">
        <is>
          <t>Push</t>
        </is>
      </c>
      <c r="G19" s="8" t="inlineStr">
        <is>
          <t>Pending</t>
        </is>
      </c>
      <c r="H19" s="8" t="inlineStr">
        <is>
          <t>Unknown</t>
        </is>
      </c>
      <c r="I19" s="8" t="inlineStr">
        <is>
          <t>Win % (W/(W+L))</t>
        </is>
      </c>
      <c r="J19" s="8" t="inlineStr">
        <is>
          <t>Total staked $ (all $ bets)</t>
        </is>
      </c>
      <c r="K19" s="8" t="inlineStr">
        <is>
          <t>Settled staked $</t>
        </is>
      </c>
      <c r="L19" s="8" t="inlineStr">
        <is>
          <t>Net P/L $</t>
        </is>
      </c>
      <c r="M19" s="8" t="inlineStr">
        <is>
          <t>ROI (net / settled $)</t>
        </is>
      </c>
      <c r="N19" s="8" t="inlineStr">
        <is>
          <t>Units staked (settled)</t>
        </is>
      </c>
      <c r="O19" s="8" t="inlineStr">
        <is>
          <t>Net units</t>
        </is>
      </c>
      <c r="P19" s="8" t="inlineStr">
        <is>
          <t>ROI (units)</t>
        </is>
      </c>
    </row>
    <row r="20">
      <c r="A20" t="inlineStr">
        <is>
          <t>Steve (@stevewilldoit)</t>
        </is>
      </c>
      <c r="B20" t="inlineStr">
        <is>
          <t>ML</t>
        </is>
      </c>
      <c r="C20">
        <f>COUNTIFS(Bets!$A$2:$A$506,"&lt;&gt;",Bets!$B$2:$B$506,"Steve",Bets!$L$2:$L$506,"ML")</f>
        <v/>
      </c>
      <c r="D20">
        <f>COUNTIFS(Bets!$A$2:$A$506,"&lt;&gt;",Bets!$B$2:$B$506,"Steve",Bets!$L$2:$L$506,"ML",Bets!$U$2:$U$506,"W")</f>
        <v/>
      </c>
      <c r="E20">
        <f>COUNTIFS(Bets!$A$2:$A$506,"&lt;&gt;",Bets!$B$2:$B$506,"Steve",Bets!$L$2:$L$506,"ML",Bets!$U$2:$U$506,"L")</f>
        <v/>
      </c>
      <c r="F20">
        <f>COUNTIFS(Bets!$A$2:$A$506,"&lt;&gt;",Bets!$B$2:$B$506,"Steve",Bets!$L$2:$L$506,"ML",Bets!$U$2:$U$506,"Push")</f>
        <v/>
      </c>
      <c r="G20">
        <f>COUNTIFS(Bets!$A$2:$A$506,"&lt;&gt;",Bets!$B$2:$B$506,"Steve",Bets!$L$2:$L$506,"ML",Bets!$U$2:$U$506,"Pending")</f>
        <v/>
      </c>
      <c r="H20">
        <f>COUNTIFS(Bets!$A$2:$A$506,"&lt;&gt;",Bets!$B$2:$B$506,"Steve",Bets!$L$2:$L$506,"ML",Bets!$U$2:$U$506,"Unknown")</f>
        <v/>
      </c>
      <c r="I20" s="9">
        <f>IF(D20+E20=0,"",D20/(D20+E20))</f>
        <v/>
      </c>
      <c r="J20" s="10">
        <f>SUMIFS(Bets!$Q$2:$Q$506,Bets!$A$2:$A$506,"&lt;&gt;",Bets!$B$2:$B$506,"Steve",Bets!$L$2:$L$506,"ML")</f>
        <v/>
      </c>
      <c r="K20" s="10">
        <f>SUMIFS(Bets!$AC$2:$AC$506,Bets!$A$2:$A$506,"&lt;&gt;",Bets!$B$2:$B$506,"Steve",Bets!$L$2:$L$506,"ML")</f>
        <v/>
      </c>
      <c r="L20" s="11">
        <f>SUMIFS(Bets!$V$2:$V$506,Bets!$A$2:$A$506,"&lt;&gt;",Bets!$B$2:$B$506,"Steve",Bets!$L$2:$L$506,"ML")</f>
        <v/>
      </c>
      <c r="M20" s="12">
        <f>IF(K20=0,"",L20/K20)</f>
        <v/>
      </c>
      <c r="N20" s="13">
        <f>SUMIFS(Bets!$AD$2:$AD$506,Bets!$A$2:$A$506,"&lt;&gt;",Bets!$B$2:$B$506,"Steve",Bets!$L$2:$L$506,"ML")</f>
        <v/>
      </c>
      <c r="O20" s="14">
        <f>SUMIFS(Bets!$W$2:$W$506,Bets!$A$2:$A$506,"&lt;&gt;",Bets!$B$2:$B$506,"Steve",Bets!$L$2:$L$506,"ML")</f>
        <v/>
      </c>
      <c r="P20" s="12">
        <f>IF(N20=0,"",O20/N20)</f>
        <v/>
      </c>
    </row>
    <row r="21">
      <c r="A21" t="inlineStr">
        <is>
          <t>Steve (@stevewilldoit)</t>
        </is>
      </c>
      <c r="B21" t="inlineStr">
        <is>
          <t>NRFI</t>
        </is>
      </c>
      <c r="C21">
        <f>COUNTIFS(Bets!$A$2:$A$506,"&lt;&gt;",Bets!$B$2:$B$506,"Steve",Bets!$L$2:$L$506,"NRFI")</f>
        <v/>
      </c>
      <c r="D21">
        <f>COUNTIFS(Bets!$A$2:$A$506,"&lt;&gt;",Bets!$B$2:$B$506,"Steve",Bets!$L$2:$L$506,"NRFI",Bets!$U$2:$U$506,"W")</f>
        <v/>
      </c>
      <c r="E21">
        <f>COUNTIFS(Bets!$A$2:$A$506,"&lt;&gt;",Bets!$B$2:$B$506,"Steve",Bets!$L$2:$L$506,"NRFI",Bets!$U$2:$U$506,"L")</f>
        <v/>
      </c>
      <c r="F21">
        <f>COUNTIFS(Bets!$A$2:$A$506,"&lt;&gt;",Bets!$B$2:$B$506,"Steve",Bets!$L$2:$L$506,"NRFI",Bets!$U$2:$U$506,"Push")</f>
        <v/>
      </c>
      <c r="G21">
        <f>COUNTIFS(Bets!$A$2:$A$506,"&lt;&gt;",Bets!$B$2:$B$506,"Steve",Bets!$L$2:$L$506,"NRFI",Bets!$U$2:$U$506,"Pending")</f>
        <v/>
      </c>
      <c r="H21">
        <f>COUNTIFS(Bets!$A$2:$A$506,"&lt;&gt;",Bets!$B$2:$B$506,"Steve",Bets!$L$2:$L$506,"NRFI",Bets!$U$2:$U$506,"Unknown")</f>
        <v/>
      </c>
      <c r="I21" s="9">
        <f>IF(D21+E21=0,"",D21/(D21+E21))</f>
        <v/>
      </c>
      <c r="J21" s="10">
        <f>SUMIFS(Bets!$Q$2:$Q$506,Bets!$A$2:$A$506,"&lt;&gt;",Bets!$B$2:$B$506,"Steve",Bets!$L$2:$L$506,"NRFI")</f>
        <v/>
      </c>
      <c r="K21" s="10">
        <f>SUMIFS(Bets!$AC$2:$AC$506,Bets!$A$2:$A$506,"&lt;&gt;",Bets!$B$2:$B$506,"Steve",Bets!$L$2:$L$506,"NRFI")</f>
        <v/>
      </c>
      <c r="L21" s="11">
        <f>SUMIFS(Bets!$V$2:$V$506,Bets!$A$2:$A$506,"&lt;&gt;",Bets!$B$2:$B$506,"Steve",Bets!$L$2:$L$506,"NRFI")</f>
        <v/>
      </c>
      <c r="M21" s="12">
        <f>IF(K21=0,"",L21/K21)</f>
        <v/>
      </c>
      <c r="N21" s="13">
        <f>SUMIFS(Bets!$AD$2:$AD$506,Bets!$A$2:$A$506,"&lt;&gt;",Bets!$B$2:$B$506,"Steve",Bets!$L$2:$L$506,"NRFI")</f>
        <v/>
      </c>
      <c r="O21" s="14">
        <f>SUMIFS(Bets!$W$2:$W$506,Bets!$A$2:$A$506,"&lt;&gt;",Bets!$B$2:$B$506,"Steve",Bets!$L$2:$L$506,"NRFI")</f>
        <v/>
      </c>
      <c r="P21" s="12">
        <f>IF(N21=0,"",O21/N21)</f>
        <v/>
      </c>
    </row>
    <row r="22">
      <c r="A22" t="inlineStr">
        <is>
          <t>Steve (@stevewilldoit)</t>
        </is>
      </c>
      <c r="B22" t="inlineStr">
        <is>
          <t>PrizePicks/DFS</t>
        </is>
      </c>
      <c r="C22">
        <f>COUNTIFS(Bets!$A$2:$A$506,"&lt;&gt;",Bets!$B$2:$B$506,"Steve",Bets!$L$2:$L$506,"PrizePicks/DFS")</f>
        <v/>
      </c>
      <c r="D22">
        <f>COUNTIFS(Bets!$A$2:$A$506,"&lt;&gt;",Bets!$B$2:$B$506,"Steve",Bets!$L$2:$L$506,"PrizePicks/DFS",Bets!$U$2:$U$506,"W")</f>
        <v/>
      </c>
      <c r="E22">
        <f>COUNTIFS(Bets!$A$2:$A$506,"&lt;&gt;",Bets!$B$2:$B$506,"Steve",Bets!$L$2:$L$506,"PrizePicks/DFS",Bets!$U$2:$U$506,"L")</f>
        <v/>
      </c>
      <c r="F22">
        <f>COUNTIFS(Bets!$A$2:$A$506,"&lt;&gt;",Bets!$B$2:$B$506,"Steve",Bets!$L$2:$L$506,"PrizePicks/DFS",Bets!$U$2:$U$506,"Push")</f>
        <v/>
      </c>
      <c r="G22">
        <f>COUNTIFS(Bets!$A$2:$A$506,"&lt;&gt;",Bets!$B$2:$B$506,"Steve",Bets!$L$2:$L$506,"PrizePicks/DFS",Bets!$U$2:$U$506,"Pending")</f>
        <v/>
      </c>
      <c r="H22">
        <f>COUNTIFS(Bets!$A$2:$A$506,"&lt;&gt;",Bets!$B$2:$B$506,"Steve",Bets!$L$2:$L$506,"PrizePicks/DFS",Bets!$U$2:$U$506,"Unknown")</f>
        <v/>
      </c>
      <c r="I22" s="9">
        <f>IF(D22+E22=0,"",D22/(D22+E22))</f>
        <v/>
      </c>
      <c r="J22" s="10">
        <f>SUMIFS(Bets!$Q$2:$Q$506,Bets!$A$2:$A$506,"&lt;&gt;",Bets!$B$2:$B$506,"Steve",Bets!$L$2:$L$506,"PrizePicks/DFS")</f>
        <v/>
      </c>
      <c r="K22" s="10">
        <f>SUMIFS(Bets!$AC$2:$AC$506,Bets!$A$2:$A$506,"&lt;&gt;",Bets!$B$2:$B$506,"Steve",Bets!$L$2:$L$506,"PrizePicks/DFS")</f>
        <v/>
      </c>
      <c r="L22" s="11">
        <f>SUMIFS(Bets!$V$2:$V$506,Bets!$A$2:$A$506,"&lt;&gt;",Bets!$B$2:$B$506,"Steve",Bets!$L$2:$L$506,"PrizePicks/DFS")</f>
        <v/>
      </c>
      <c r="M22" s="12">
        <f>IF(K22=0,"",L22/K22)</f>
        <v/>
      </c>
      <c r="N22" s="13">
        <f>SUMIFS(Bets!$AD$2:$AD$506,Bets!$A$2:$A$506,"&lt;&gt;",Bets!$B$2:$B$506,"Steve",Bets!$L$2:$L$506,"PrizePicks/DFS")</f>
        <v/>
      </c>
      <c r="O22" s="14">
        <f>SUMIFS(Bets!$W$2:$W$506,Bets!$A$2:$A$506,"&lt;&gt;",Bets!$B$2:$B$506,"Steve",Bets!$L$2:$L$506,"PrizePicks/DFS")</f>
        <v/>
      </c>
      <c r="P22" s="12">
        <f>IF(N22=0,"",O22/N22)</f>
        <v/>
      </c>
    </row>
    <row r="23">
      <c r="A23" t="inlineStr">
        <is>
          <t>Steve (@stevewilldoit)</t>
        </is>
      </c>
      <c r="B23" t="inlineStr">
        <is>
          <t>card</t>
        </is>
      </c>
      <c r="C23">
        <f>COUNTIFS(Bets!$A$2:$A$506,"&lt;&gt;",Bets!$B$2:$B$506,"Steve",Bets!$L$2:$L$506,"card")</f>
        <v/>
      </c>
      <c r="D23">
        <f>COUNTIFS(Bets!$A$2:$A$506,"&lt;&gt;",Bets!$B$2:$B$506,"Steve",Bets!$L$2:$L$506,"card",Bets!$U$2:$U$506,"W")</f>
        <v/>
      </c>
      <c r="E23">
        <f>COUNTIFS(Bets!$A$2:$A$506,"&lt;&gt;",Bets!$B$2:$B$506,"Steve",Bets!$L$2:$L$506,"card",Bets!$U$2:$U$506,"L")</f>
        <v/>
      </c>
      <c r="F23">
        <f>COUNTIFS(Bets!$A$2:$A$506,"&lt;&gt;",Bets!$B$2:$B$506,"Steve",Bets!$L$2:$L$506,"card",Bets!$U$2:$U$506,"Push")</f>
        <v/>
      </c>
      <c r="G23">
        <f>COUNTIFS(Bets!$A$2:$A$506,"&lt;&gt;",Bets!$B$2:$B$506,"Steve",Bets!$L$2:$L$506,"card",Bets!$U$2:$U$506,"Pending")</f>
        <v/>
      </c>
      <c r="H23">
        <f>COUNTIFS(Bets!$A$2:$A$506,"&lt;&gt;",Bets!$B$2:$B$506,"Steve",Bets!$L$2:$L$506,"card",Bets!$U$2:$U$506,"Unknown")</f>
        <v/>
      </c>
      <c r="I23" s="9">
        <f>IF(D23+E23=0,"",D23/(D23+E23))</f>
        <v/>
      </c>
      <c r="J23" s="10">
        <f>SUMIFS(Bets!$Q$2:$Q$506,Bets!$A$2:$A$506,"&lt;&gt;",Bets!$B$2:$B$506,"Steve",Bets!$L$2:$L$506,"card")</f>
        <v/>
      </c>
      <c r="K23" s="10">
        <f>SUMIFS(Bets!$AC$2:$AC$506,Bets!$A$2:$A$506,"&lt;&gt;",Bets!$B$2:$B$506,"Steve",Bets!$L$2:$L$506,"card")</f>
        <v/>
      </c>
      <c r="L23" s="11">
        <f>SUMIFS(Bets!$V$2:$V$506,Bets!$A$2:$A$506,"&lt;&gt;",Bets!$B$2:$B$506,"Steve",Bets!$L$2:$L$506,"card")</f>
        <v/>
      </c>
      <c r="M23" s="12">
        <f>IF(K23=0,"",L23/K23)</f>
        <v/>
      </c>
      <c r="N23" s="13">
        <f>SUMIFS(Bets!$AD$2:$AD$506,Bets!$A$2:$A$506,"&lt;&gt;",Bets!$B$2:$B$506,"Steve",Bets!$L$2:$L$506,"card")</f>
        <v/>
      </c>
      <c r="O23" s="14">
        <f>SUMIFS(Bets!$W$2:$W$506,Bets!$A$2:$A$506,"&lt;&gt;",Bets!$B$2:$B$506,"Steve",Bets!$L$2:$L$506,"card")</f>
        <v/>
      </c>
      <c r="P23" s="12">
        <f>IF(N23=0,"",O23/N23)</f>
        <v/>
      </c>
    </row>
    <row r="24">
      <c r="A24" t="inlineStr">
        <is>
          <t>Steve (@stevewilldoit)</t>
        </is>
      </c>
      <c r="B24" t="inlineStr">
        <is>
          <t>double chance</t>
        </is>
      </c>
      <c r="C24">
        <f>COUNTIFS(Bets!$A$2:$A$506,"&lt;&gt;",Bets!$B$2:$B$506,"Steve",Bets!$L$2:$L$506,"double chance")</f>
        <v/>
      </c>
      <c r="D24">
        <f>COUNTIFS(Bets!$A$2:$A$506,"&lt;&gt;",Bets!$B$2:$B$506,"Steve",Bets!$L$2:$L$506,"double chance",Bets!$U$2:$U$506,"W")</f>
        <v/>
      </c>
      <c r="E24">
        <f>COUNTIFS(Bets!$A$2:$A$506,"&lt;&gt;",Bets!$B$2:$B$506,"Steve",Bets!$L$2:$L$506,"double chance",Bets!$U$2:$U$506,"L")</f>
        <v/>
      </c>
      <c r="F24">
        <f>COUNTIFS(Bets!$A$2:$A$506,"&lt;&gt;",Bets!$B$2:$B$506,"Steve",Bets!$L$2:$L$506,"double chance",Bets!$U$2:$U$506,"Push")</f>
        <v/>
      </c>
      <c r="G24">
        <f>COUNTIFS(Bets!$A$2:$A$506,"&lt;&gt;",Bets!$B$2:$B$506,"Steve",Bets!$L$2:$L$506,"double chance",Bets!$U$2:$U$506,"Pending")</f>
        <v/>
      </c>
      <c r="H24">
        <f>COUNTIFS(Bets!$A$2:$A$506,"&lt;&gt;",Bets!$B$2:$B$506,"Steve",Bets!$L$2:$L$506,"double chance",Bets!$U$2:$U$506,"Unknown")</f>
        <v/>
      </c>
      <c r="I24" s="9">
        <f>IF(D24+E24=0,"",D24/(D24+E24))</f>
        <v/>
      </c>
      <c r="J24" s="10">
        <f>SUMIFS(Bets!$Q$2:$Q$506,Bets!$A$2:$A$506,"&lt;&gt;",Bets!$B$2:$B$506,"Steve",Bets!$L$2:$L$506,"double chance")</f>
        <v/>
      </c>
      <c r="K24" s="10">
        <f>SUMIFS(Bets!$AC$2:$AC$506,Bets!$A$2:$A$506,"&lt;&gt;",Bets!$B$2:$B$506,"Steve",Bets!$L$2:$L$506,"double chance")</f>
        <v/>
      </c>
      <c r="L24" s="11">
        <f>SUMIFS(Bets!$V$2:$V$506,Bets!$A$2:$A$506,"&lt;&gt;",Bets!$B$2:$B$506,"Steve",Bets!$L$2:$L$506,"double chance")</f>
        <v/>
      </c>
      <c r="M24" s="12">
        <f>IF(K24=0,"",L24/K24)</f>
        <v/>
      </c>
      <c r="N24" s="13">
        <f>SUMIFS(Bets!$AD$2:$AD$506,Bets!$A$2:$A$506,"&lt;&gt;",Bets!$B$2:$B$506,"Steve",Bets!$L$2:$L$506,"double chance")</f>
        <v/>
      </c>
      <c r="O24" s="14">
        <f>SUMIFS(Bets!$W$2:$W$506,Bets!$A$2:$A$506,"&lt;&gt;",Bets!$B$2:$B$506,"Steve",Bets!$L$2:$L$506,"double chance")</f>
        <v/>
      </c>
      <c r="P24" s="12">
        <f>IF(N24=0,"",O24/N24)</f>
        <v/>
      </c>
    </row>
    <row r="25">
      <c r="A25" t="inlineStr">
        <is>
          <t>Steve (@stevewilldoit)</t>
        </is>
      </c>
      <c r="B25" t="inlineStr">
        <is>
          <t>first TD</t>
        </is>
      </c>
      <c r="C25">
        <f>COUNTIFS(Bets!$A$2:$A$506,"&lt;&gt;",Bets!$B$2:$B$506,"Steve",Bets!$L$2:$L$506,"first TD")</f>
        <v/>
      </c>
      <c r="D25">
        <f>COUNTIFS(Bets!$A$2:$A$506,"&lt;&gt;",Bets!$B$2:$B$506,"Steve",Bets!$L$2:$L$506,"first TD",Bets!$U$2:$U$506,"W")</f>
        <v/>
      </c>
      <c r="E25">
        <f>COUNTIFS(Bets!$A$2:$A$506,"&lt;&gt;",Bets!$B$2:$B$506,"Steve",Bets!$L$2:$L$506,"first TD",Bets!$U$2:$U$506,"L")</f>
        <v/>
      </c>
      <c r="F25">
        <f>COUNTIFS(Bets!$A$2:$A$506,"&lt;&gt;",Bets!$B$2:$B$506,"Steve",Bets!$L$2:$L$506,"first TD",Bets!$U$2:$U$506,"Push")</f>
        <v/>
      </c>
      <c r="G25">
        <f>COUNTIFS(Bets!$A$2:$A$506,"&lt;&gt;",Bets!$B$2:$B$506,"Steve",Bets!$L$2:$L$506,"first TD",Bets!$U$2:$U$506,"Pending")</f>
        <v/>
      </c>
      <c r="H25">
        <f>COUNTIFS(Bets!$A$2:$A$506,"&lt;&gt;",Bets!$B$2:$B$506,"Steve",Bets!$L$2:$L$506,"first TD",Bets!$U$2:$U$506,"Unknown")</f>
        <v/>
      </c>
      <c r="I25" s="9">
        <f>IF(D25+E25=0,"",D25/(D25+E25))</f>
        <v/>
      </c>
      <c r="J25" s="10">
        <f>SUMIFS(Bets!$Q$2:$Q$506,Bets!$A$2:$A$506,"&lt;&gt;",Bets!$B$2:$B$506,"Steve",Bets!$L$2:$L$506,"first TD")</f>
        <v/>
      </c>
      <c r="K25" s="10">
        <f>SUMIFS(Bets!$AC$2:$AC$506,Bets!$A$2:$A$506,"&lt;&gt;",Bets!$B$2:$B$506,"Steve",Bets!$L$2:$L$506,"first TD")</f>
        <v/>
      </c>
      <c r="L25" s="11">
        <f>SUMIFS(Bets!$V$2:$V$506,Bets!$A$2:$A$506,"&lt;&gt;",Bets!$B$2:$B$506,"Steve",Bets!$L$2:$L$506,"first TD")</f>
        <v/>
      </c>
      <c r="M25" s="12">
        <f>IF(K25=0,"",L25/K25)</f>
        <v/>
      </c>
      <c r="N25" s="13">
        <f>SUMIFS(Bets!$AD$2:$AD$506,Bets!$A$2:$A$506,"&lt;&gt;",Bets!$B$2:$B$506,"Steve",Bets!$L$2:$L$506,"first TD")</f>
        <v/>
      </c>
      <c r="O25" s="14">
        <f>SUMIFS(Bets!$W$2:$W$506,Bets!$A$2:$A$506,"&lt;&gt;",Bets!$B$2:$B$506,"Steve",Bets!$L$2:$L$506,"first TD")</f>
        <v/>
      </c>
      <c r="P25" s="12">
        <f>IF(N25=0,"",O25/N25)</f>
        <v/>
      </c>
    </row>
    <row r="26">
      <c r="A26" t="inlineStr">
        <is>
          <t>Steve (@stevewilldoit)</t>
        </is>
      </c>
      <c r="B26" t="inlineStr">
        <is>
          <t>futures</t>
        </is>
      </c>
      <c r="C26">
        <f>COUNTIFS(Bets!$A$2:$A$506,"&lt;&gt;",Bets!$B$2:$B$506,"Steve",Bets!$L$2:$L$506,"futures")</f>
        <v/>
      </c>
      <c r="D26">
        <f>COUNTIFS(Bets!$A$2:$A$506,"&lt;&gt;",Bets!$B$2:$B$506,"Steve",Bets!$L$2:$L$506,"futures",Bets!$U$2:$U$506,"W")</f>
        <v/>
      </c>
      <c r="E26">
        <f>COUNTIFS(Bets!$A$2:$A$506,"&lt;&gt;",Bets!$B$2:$B$506,"Steve",Bets!$L$2:$L$506,"futures",Bets!$U$2:$U$506,"L")</f>
        <v/>
      </c>
      <c r="F26">
        <f>COUNTIFS(Bets!$A$2:$A$506,"&lt;&gt;",Bets!$B$2:$B$506,"Steve",Bets!$L$2:$L$506,"futures",Bets!$U$2:$U$506,"Push")</f>
        <v/>
      </c>
      <c r="G26">
        <f>COUNTIFS(Bets!$A$2:$A$506,"&lt;&gt;",Bets!$B$2:$B$506,"Steve",Bets!$L$2:$L$506,"futures",Bets!$U$2:$U$506,"Pending")</f>
        <v/>
      </c>
      <c r="H26">
        <f>COUNTIFS(Bets!$A$2:$A$506,"&lt;&gt;",Bets!$B$2:$B$506,"Steve",Bets!$L$2:$L$506,"futures",Bets!$U$2:$U$506,"Unknown")</f>
        <v/>
      </c>
      <c r="I26" s="9">
        <f>IF(D26+E26=0,"",D26/(D26+E26))</f>
        <v/>
      </c>
      <c r="J26" s="10">
        <f>SUMIFS(Bets!$Q$2:$Q$506,Bets!$A$2:$A$506,"&lt;&gt;",Bets!$B$2:$B$506,"Steve",Bets!$L$2:$L$506,"futures")</f>
        <v/>
      </c>
      <c r="K26" s="10">
        <f>SUMIFS(Bets!$AC$2:$AC$506,Bets!$A$2:$A$506,"&lt;&gt;",Bets!$B$2:$B$506,"Steve",Bets!$L$2:$L$506,"futures")</f>
        <v/>
      </c>
      <c r="L26" s="11">
        <f>SUMIFS(Bets!$V$2:$V$506,Bets!$A$2:$A$506,"&lt;&gt;",Bets!$B$2:$B$506,"Steve",Bets!$L$2:$L$506,"futures")</f>
        <v/>
      </c>
      <c r="M26" s="12">
        <f>IF(K26=0,"",L26/K26)</f>
        <v/>
      </c>
      <c r="N26" s="13">
        <f>SUMIFS(Bets!$AD$2:$AD$506,Bets!$A$2:$A$506,"&lt;&gt;",Bets!$B$2:$B$506,"Steve",Bets!$L$2:$L$506,"futures")</f>
        <v/>
      </c>
      <c r="O26" s="14">
        <f>SUMIFS(Bets!$W$2:$W$506,Bets!$A$2:$A$506,"&lt;&gt;",Bets!$B$2:$B$506,"Steve",Bets!$L$2:$L$506,"futures")</f>
        <v/>
      </c>
      <c r="P26" s="12">
        <f>IF(N26=0,"",O26/N26)</f>
        <v/>
      </c>
    </row>
    <row r="27">
      <c r="A27" t="inlineStr">
        <is>
          <t>Steve (@stevewilldoit)</t>
        </is>
      </c>
      <c r="B27" t="inlineStr">
        <is>
          <t>other</t>
        </is>
      </c>
      <c r="C27">
        <f>COUNTIFS(Bets!$A$2:$A$506,"&lt;&gt;",Bets!$B$2:$B$506,"Steve",Bets!$L$2:$L$506,"other")</f>
        <v/>
      </c>
      <c r="D27">
        <f>COUNTIFS(Bets!$A$2:$A$506,"&lt;&gt;",Bets!$B$2:$B$506,"Steve",Bets!$L$2:$L$506,"other",Bets!$U$2:$U$506,"W")</f>
        <v/>
      </c>
      <c r="E27">
        <f>COUNTIFS(Bets!$A$2:$A$506,"&lt;&gt;",Bets!$B$2:$B$506,"Steve",Bets!$L$2:$L$506,"other",Bets!$U$2:$U$506,"L")</f>
        <v/>
      </c>
      <c r="F27">
        <f>COUNTIFS(Bets!$A$2:$A$506,"&lt;&gt;",Bets!$B$2:$B$506,"Steve",Bets!$L$2:$L$506,"other",Bets!$U$2:$U$506,"Push")</f>
        <v/>
      </c>
      <c r="G27">
        <f>COUNTIFS(Bets!$A$2:$A$506,"&lt;&gt;",Bets!$B$2:$B$506,"Steve",Bets!$L$2:$L$506,"other",Bets!$U$2:$U$506,"Pending")</f>
        <v/>
      </c>
      <c r="H27">
        <f>COUNTIFS(Bets!$A$2:$A$506,"&lt;&gt;",Bets!$B$2:$B$506,"Steve",Bets!$L$2:$L$506,"other",Bets!$U$2:$U$506,"Unknown")</f>
        <v/>
      </c>
      <c r="I27" s="9">
        <f>IF(D27+E27=0,"",D27/(D27+E27))</f>
        <v/>
      </c>
      <c r="J27" s="10">
        <f>SUMIFS(Bets!$Q$2:$Q$506,Bets!$A$2:$A$506,"&lt;&gt;",Bets!$B$2:$B$506,"Steve",Bets!$L$2:$L$506,"other")</f>
        <v/>
      </c>
      <c r="K27" s="10">
        <f>SUMIFS(Bets!$AC$2:$AC$506,Bets!$A$2:$A$506,"&lt;&gt;",Bets!$B$2:$B$506,"Steve",Bets!$L$2:$L$506,"other")</f>
        <v/>
      </c>
      <c r="L27" s="11">
        <f>SUMIFS(Bets!$V$2:$V$506,Bets!$A$2:$A$506,"&lt;&gt;",Bets!$B$2:$B$506,"Steve",Bets!$L$2:$L$506,"other")</f>
        <v/>
      </c>
      <c r="M27" s="12">
        <f>IF(K27=0,"",L27/K27)</f>
        <v/>
      </c>
      <c r="N27" s="13">
        <f>SUMIFS(Bets!$AD$2:$AD$506,Bets!$A$2:$A$506,"&lt;&gt;",Bets!$B$2:$B$506,"Steve",Bets!$L$2:$L$506,"other")</f>
        <v/>
      </c>
      <c r="O27" s="14">
        <f>SUMIFS(Bets!$W$2:$W$506,Bets!$A$2:$A$506,"&lt;&gt;",Bets!$B$2:$B$506,"Steve",Bets!$L$2:$L$506,"other")</f>
        <v/>
      </c>
      <c r="P27" s="12">
        <f>IF(N27=0,"",O27/N27)</f>
        <v/>
      </c>
    </row>
    <row r="28">
      <c r="A28" t="inlineStr">
        <is>
          <t>Steve (@stevewilldoit)</t>
        </is>
      </c>
      <c r="B28" t="inlineStr">
        <is>
          <t>parlay</t>
        </is>
      </c>
      <c r="C28">
        <f>COUNTIFS(Bets!$A$2:$A$506,"&lt;&gt;",Bets!$B$2:$B$506,"Steve",Bets!$L$2:$L$506,"parlay")</f>
        <v/>
      </c>
      <c r="D28">
        <f>COUNTIFS(Bets!$A$2:$A$506,"&lt;&gt;",Bets!$B$2:$B$506,"Steve",Bets!$L$2:$L$506,"parlay",Bets!$U$2:$U$506,"W")</f>
        <v/>
      </c>
      <c r="E28">
        <f>COUNTIFS(Bets!$A$2:$A$506,"&lt;&gt;",Bets!$B$2:$B$506,"Steve",Bets!$L$2:$L$506,"parlay",Bets!$U$2:$U$506,"L")</f>
        <v/>
      </c>
      <c r="F28">
        <f>COUNTIFS(Bets!$A$2:$A$506,"&lt;&gt;",Bets!$B$2:$B$506,"Steve",Bets!$L$2:$L$506,"parlay",Bets!$U$2:$U$506,"Push")</f>
        <v/>
      </c>
      <c r="G28">
        <f>COUNTIFS(Bets!$A$2:$A$506,"&lt;&gt;",Bets!$B$2:$B$506,"Steve",Bets!$L$2:$L$506,"parlay",Bets!$U$2:$U$506,"Pending")</f>
        <v/>
      </c>
      <c r="H28">
        <f>COUNTIFS(Bets!$A$2:$A$506,"&lt;&gt;",Bets!$B$2:$B$506,"Steve",Bets!$L$2:$L$506,"parlay",Bets!$U$2:$U$506,"Unknown")</f>
        <v/>
      </c>
      <c r="I28" s="9">
        <f>IF(D28+E28=0,"",D28/(D28+E28))</f>
        <v/>
      </c>
      <c r="J28" s="10">
        <f>SUMIFS(Bets!$Q$2:$Q$506,Bets!$A$2:$A$506,"&lt;&gt;",Bets!$B$2:$B$506,"Steve",Bets!$L$2:$L$506,"parlay")</f>
        <v/>
      </c>
      <c r="K28" s="10">
        <f>SUMIFS(Bets!$AC$2:$AC$506,Bets!$A$2:$A$506,"&lt;&gt;",Bets!$B$2:$B$506,"Steve",Bets!$L$2:$L$506,"parlay")</f>
        <v/>
      </c>
      <c r="L28" s="11">
        <f>SUMIFS(Bets!$V$2:$V$506,Bets!$A$2:$A$506,"&lt;&gt;",Bets!$B$2:$B$506,"Steve",Bets!$L$2:$L$506,"parlay")</f>
        <v/>
      </c>
      <c r="M28" s="12">
        <f>IF(K28=0,"",L28/K28)</f>
        <v/>
      </c>
      <c r="N28" s="13">
        <f>SUMIFS(Bets!$AD$2:$AD$506,Bets!$A$2:$A$506,"&lt;&gt;",Bets!$B$2:$B$506,"Steve",Bets!$L$2:$L$506,"parlay")</f>
        <v/>
      </c>
      <c r="O28" s="14">
        <f>SUMIFS(Bets!$W$2:$W$506,Bets!$A$2:$A$506,"&lt;&gt;",Bets!$B$2:$B$506,"Steve",Bets!$L$2:$L$506,"parlay")</f>
        <v/>
      </c>
      <c r="P28" s="12">
        <f>IF(N28=0,"",O28/N28)</f>
        <v/>
      </c>
    </row>
    <row r="29">
      <c r="A29" t="inlineStr">
        <is>
          <t>Steve (@stevewilldoit)</t>
        </is>
      </c>
      <c r="B29" t="inlineStr">
        <is>
          <t>prop</t>
        </is>
      </c>
      <c r="C29">
        <f>COUNTIFS(Bets!$A$2:$A$506,"&lt;&gt;",Bets!$B$2:$B$506,"Steve",Bets!$L$2:$L$506,"prop")</f>
        <v/>
      </c>
      <c r="D29">
        <f>COUNTIFS(Bets!$A$2:$A$506,"&lt;&gt;",Bets!$B$2:$B$506,"Steve",Bets!$L$2:$L$506,"prop",Bets!$U$2:$U$506,"W")</f>
        <v/>
      </c>
      <c r="E29">
        <f>COUNTIFS(Bets!$A$2:$A$506,"&lt;&gt;",Bets!$B$2:$B$506,"Steve",Bets!$L$2:$L$506,"prop",Bets!$U$2:$U$506,"L")</f>
        <v/>
      </c>
      <c r="F29">
        <f>COUNTIFS(Bets!$A$2:$A$506,"&lt;&gt;",Bets!$B$2:$B$506,"Steve",Bets!$L$2:$L$506,"prop",Bets!$U$2:$U$506,"Push")</f>
        <v/>
      </c>
      <c r="G29">
        <f>COUNTIFS(Bets!$A$2:$A$506,"&lt;&gt;",Bets!$B$2:$B$506,"Steve",Bets!$L$2:$L$506,"prop",Bets!$U$2:$U$506,"Pending")</f>
        <v/>
      </c>
      <c r="H29">
        <f>COUNTIFS(Bets!$A$2:$A$506,"&lt;&gt;",Bets!$B$2:$B$506,"Steve",Bets!$L$2:$L$506,"prop",Bets!$U$2:$U$506,"Unknown")</f>
        <v/>
      </c>
      <c r="I29" s="9">
        <f>IF(D29+E29=0,"",D29/(D29+E29))</f>
        <v/>
      </c>
      <c r="J29" s="10">
        <f>SUMIFS(Bets!$Q$2:$Q$506,Bets!$A$2:$A$506,"&lt;&gt;",Bets!$B$2:$B$506,"Steve",Bets!$L$2:$L$506,"prop")</f>
        <v/>
      </c>
      <c r="K29" s="10">
        <f>SUMIFS(Bets!$AC$2:$AC$506,Bets!$A$2:$A$506,"&lt;&gt;",Bets!$B$2:$B$506,"Steve",Bets!$L$2:$L$506,"prop")</f>
        <v/>
      </c>
      <c r="L29" s="11">
        <f>SUMIFS(Bets!$V$2:$V$506,Bets!$A$2:$A$506,"&lt;&gt;",Bets!$B$2:$B$506,"Steve",Bets!$L$2:$L$506,"prop")</f>
        <v/>
      </c>
      <c r="M29" s="12">
        <f>IF(K29=0,"",L29/K29)</f>
        <v/>
      </c>
      <c r="N29" s="13">
        <f>SUMIFS(Bets!$AD$2:$AD$506,Bets!$A$2:$A$506,"&lt;&gt;",Bets!$B$2:$B$506,"Steve",Bets!$L$2:$L$506,"prop")</f>
        <v/>
      </c>
      <c r="O29" s="14">
        <f>SUMIFS(Bets!$W$2:$W$506,Bets!$A$2:$A$506,"&lt;&gt;",Bets!$B$2:$B$506,"Steve",Bets!$L$2:$L$506,"prop")</f>
        <v/>
      </c>
      <c r="P29" s="12">
        <f>IF(N29=0,"",O29/N29)</f>
        <v/>
      </c>
    </row>
    <row r="30">
      <c r="A30" t="inlineStr">
        <is>
          <t>Steve (@stevewilldoit)</t>
        </is>
      </c>
      <c r="B30" t="inlineStr">
        <is>
          <t>spread</t>
        </is>
      </c>
      <c r="C30">
        <f>COUNTIFS(Bets!$A$2:$A$506,"&lt;&gt;",Bets!$B$2:$B$506,"Steve",Bets!$L$2:$L$506,"spread")</f>
        <v/>
      </c>
      <c r="D30">
        <f>COUNTIFS(Bets!$A$2:$A$506,"&lt;&gt;",Bets!$B$2:$B$506,"Steve",Bets!$L$2:$L$506,"spread",Bets!$U$2:$U$506,"W")</f>
        <v/>
      </c>
      <c r="E30">
        <f>COUNTIFS(Bets!$A$2:$A$506,"&lt;&gt;",Bets!$B$2:$B$506,"Steve",Bets!$L$2:$L$506,"spread",Bets!$U$2:$U$506,"L")</f>
        <v/>
      </c>
      <c r="F30">
        <f>COUNTIFS(Bets!$A$2:$A$506,"&lt;&gt;",Bets!$B$2:$B$506,"Steve",Bets!$L$2:$L$506,"spread",Bets!$U$2:$U$506,"Push")</f>
        <v/>
      </c>
      <c r="G30">
        <f>COUNTIFS(Bets!$A$2:$A$506,"&lt;&gt;",Bets!$B$2:$B$506,"Steve",Bets!$L$2:$L$506,"spread",Bets!$U$2:$U$506,"Pending")</f>
        <v/>
      </c>
      <c r="H30">
        <f>COUNTIFS(Bets!$A$2:$A$506,"&lt;&gt;",Bets!$B$2:$B$506,"Steve",Bets!$L$2:$L$506,"spread",Bets!$U$2:$U$506,"Unknown")</f>
        <v/>
      </c>
      <c r="I30" s="9">
        <f>IF(D30+E30=0,"",D30/(D30+E30))</f>
        <v/>
      </c>
      <c r="J30" s="10">
        <f>SUMIFS(Bets!$Q$2:$Q$506,Bets!$A$2:$A$506,"&lt;&gt;",Bets!$B$2:$B$506,"Steve",Bets!$L$2:$L$506,"spread")</f>
        <v/>
      </c>
      <c r="K30" s="10">
        <f>SUMIFS(Bets!$AC$2:$AC$506,Bets!$A$2:$A$506,"&lt;&gt;",Bets!$B$2:$B$506,"Steve",Bets!$L$2:$L$506,"spread")</f>
        <v/>
      </c>
      <c r="L30" s="11">
        <f>SUMIFS(Bets!$V$2:$V$506,Bets!$A$2:$A$506,"&lt;&gt;",Bets!$B$2:$B$506,"Steve",Bets!$L$2:$L$506,"spread")</f>
        <v/>
      </c>
      <c r="M30" s="12">
        <f>IF(K30=0,"",L30/K30)</f>
        <v/>
      </c>
      <c r="N30" s="13">
        <f>SUMIFS(Bets!$AD$2:$AD$506,Bets!$A$2:$A$506,"&lt;&gt;",Bets!$B$2:$B$506,"Steve",Bets!$L$2:$L$506,"spread")</f>
        <v/>
      </c>
      <c r="O30" s="14">
        <f>SUMIFS(Bets!$W$2:$W$506,Bets!$A$2:$A$506,"&lt;&gt;",Bets!$B$2:$B$506,"Steve",Bets!$L$2:$L$506,"spread")</f>
        <v/>
      </c>
      <c r="P30" s="12">
        <f>IF(N30=0,"",O30/N30)</f>
        <v/>
      </c>
    </row>
    <row r="31">
      <c r="A31" t="inlineStr">
        <is>
          <t>Steve (@stevewilldoit)</t>
        </is>
      </c>
      <c r="B31" t="inlineStr">
        <is>
          <t>total</t>
        </is>
      </c>
      <c r="C31">
        <f>COUNTIFS(Bets!$A$2:$A$506,"&lt;&gt;",Bets!$B$2:$B$506,"Steve",Bets!$L$2:$L$506,"total")</f>
        <v/>
      </c>
      <c r="D31">
        <f>COUNTIFS(Bets!$A$2:$A$506,"&lt;&gt;",Bets!$B$2:$B$506,"Steve",Bets!$L$2:$L$506,"total",Bets!$U$2:$U$506,"W")</f>
        <v/>
      </c>
      <c r="E31">
        <f>COUNTIFS(Bets!$A$2:$A$506,"&lt;&gt;",Bets!$B$2:$B$506,"Steve",Bets!$L$2:$L$506,"total",Bets!$U$2:$U$506,"L")</f>
        <v/>
      </c>
      <c r="F31">
        <f>COUNTIFS(Bets!$A$2:$A$506,"&lt;&gt;",Bets!$B$2:$B$506,"Steve",Bets!$L$2:$L$506,"total",Bets!$U$2:$U$506,"Push")</f>
        <v/>
      </c>
      <c r="G31">
        <f>COUNTIFS(Bets!$A$2:$A$506,"&lt;&gt;",Bets!$B$2:$B$506,"Steve",Bets!$L$2:$L$506,"total",Bets!$U$2:$U$506,"Pending")</f>
        <v/>
      </c>
      <c r="H31">
        <f>COUNTIFS(Bets!$A$2:$A$506,"&lt;&gt;",Bets!$B$2:$B$506,"Steve",Bets!$L$2:$L$506,"total",Bets!$U$2:$U$506,"Unknown")</f>
        <v/>
      </c>
      <c r="I31" s="9">
        <f>IF(D31+E31=0,"",D31/(D31+E31))</f>
        <v/>
      </c>
      <c r="J31" s="10">
        <f>SUMIFS(Bets!$Q$2:$Q$506,Bets!$A$2:$A$506,"&lt;&gt;",Bets!$B$2:$B$506,"Steve",Bets!$L$2:$L$506,"total")</f>
        <v/>
      </c>
      <c r="K31" s="10">
        <f>SUMIFS(Bets!$AC$2:$AC$506,Bets!$A$2:$A$506,"&lt;&gt;",Bets!$B$2:$B$506,"Steve",Bets!$L$2:$L$506,"total")</f>
        <v/>
      </c>
      <c r="L31" s="11">
        <f>SUMIFS(Bets!$V$2:$V$506,Bets!$A$2:$A$506,"&lt;&gt;",Bets!$B$2:$B$506,"Steve",Bets!$L$2:$L$506,"total")</f>
        <v/>
      </c>
      <c r="M31" s="12">
        <f>IF(K31=0,"",L31/K31)</f>
        <v/>
      </c>
      <c r="N31" s="13">
        <f>SUMIFS(Bets!$AD$2:$AD$506,Bets!$A$2:$A$506,"&lt;&gt;",Bets!$B$2:$B$506,"Steve",Bets!$L$2:$L$506,"total")</f>
        <v/>
      </c>
      <c r="O31" s="14">
        <f>SUMIFS(Bets!$W$2:$W$506,Bets!$A$2:$A$506,"&lt;&gt;",Bets!$B$2:$B$506,"Steve",Bets!$L$2:$L$506,"total")</f>
        <v/>
      </c>
      <c r="P31" s="12">
        <f>IF(N31=0,"",O31/N31)</f>
        <v/>
      </c>
    </row>
    <row r="33">
      <c r="A33" s="7" t="inlineStr">
        <is>
          <t>Combined – by bet type</t>
        </is>
      </c>
    </row>
    <row r="34">
      <c r="A34" s="8" t="inlineStr">
        <is>
          <t>Bettor</t>
        </is>
      </c>
      <c r="B34" s="8" t="inlineStr">
        <is>
          <t>Bet type</t>
        </is>
      </c>
      <c r="C34" s="8" t="inlineStr">
        <is>
          <t>Bets</t>
        </is>
      </c>
      <c r="D34" s="8" t="inlineStr">
        <is>
          <t>W</t>
        </is>
      </c>
      <c r="E34" s="8" t="inlineStr">
        <is>
          <t>L</t>
        </is>
      </c>
      <c r="F34" s="8" t="inlineStr">
        <is>
          <t>Push</t>
        </is>
      </c>
      <c r="G34" s="8" t="inlineStr">
        <is>
          <t>Pending</t>
        </is>
      </c>
      <c r="H34" s="8" t="inlineStr">
        <is>
          <t>Unknown</t>
        </is>
      </c>
      <c r="I34" s="8" t="inlineStr">
        <is>
          <t>Win % (W/(W+L))</t>
        </is>
      </c>
      <c r="J34" s="8" t="inlineStr">
        <is>
          <t>Total staked $ (all $ bets)</t>
        </is>
      </c>
      <c r="K34" s="8" t="inlineStr">
        <is>
          <t>Settled staked $</t>
        </is>
      </c>
      <c r="L34" s="8" t="inlineStr">
        <is>
          <t>Net P/L $</t>
        </is>
      </c>
      <c r="M34" s="8" t="inlineStr">
        <is>
          <t>ROI (net / settled $)</t>
        </is>
      </c>
      <c r="N34" s="8" t="inlineStr">
        <is>
          <t>Units staked (settled)</t>
        </is>
      </c>
      <c r="O34" s="8" t="inlineStr">
        <is>
          <t>Net units</t>
        </is>
      </c>
      <c r="P34" s="8" t="inlineStr">
        <is>
          <t>ROI (units)</t>
        </is>
      </c>
    </row>
    <row r="35">
      <c r="A35" t="inlineStr">
        <is>
          <t>Combined</t>
        </is>
      </c>
      <c r="B35" t="inlineStr">
        <is>
          <t>ML</t>
        </is>
      </c>
      <c r="C35">
        <f>COUNTIFS(Bets!$A$2:$A$506,"&lt;&gt;",Bets!$B$2:$B$506,"*",Bets!$L$2:$L$506,"ML")</f>
        <v/>
      </c>
      <c r="D35">
        <f>COUNTIFS(Bets!$A$2:$A$506,"&lt;&gt;",Bets!$B$2:$B$506,"*",Bets!$L$2:$L$506,"ML",Bets!$U$2:$U$506,"W")</f>
        <v/>
      </c>
      <c r="E35">
        <f>COUNTIFS(Bets!$A$2:$A$506,"&lt;&gt;",Bets!$B$2:$B$506,"*",Bets!$L$2:$L$506,"ML",Bets!$U$2:$U$506,"L")</f>
        <v/>
      </c>
      <c r="F35">
        <f>COUNTIFS(Bets!$A$2:$A$506,"&lt;&gt;",Bets!$B$2:$B$506,"*",Bets!$L$2:$L$506,"ML",Bets!$U$2:$U$506,"Push")</f>
        <v/>
      </c>
      <c r="G35">
        <f>COUNTIFS(Bets!$A$2:$A$506,"&lt;&gt;",Bets!$B$2:$B$506,"*",Bets!$L$2:$L$506,"ML",Bets!$U$2:$U$506,"Pending")</f>
        <v/>
      </c>
      <c r="H35">
        <f>COUNTIFS(Bets!$A$2:$A$506,"&lt;&gt;",Bets!$B$2:$B$506,"*",Bets!$L$2:$L$506,"ML",Bets!$U$2:$U$506,"Unknown")</f>
        <v/>
      </c>
      <c r="I35" s="9">
        <f>IF(D35+E35=0,"",D35/(D35+E35))</f>
        <v/>
      </c>
      <c r="J35" s="10">
        <f>SUMIFS(Bets!$Q$2:$Q$506,Bets!$A$2:$A$506,"&lt;&gt;",Bets!$B$2:$B$506,"*",Bets!$L$2:$L$506,"ML")</f>
        <v/>
      </c>
      <c r="K35" s="10">
        <f>SUMIFS(Bets!$AC$2:$AC$506,Bets!$A$2:$A$506,"&lt;&gt;",Bets!$B$2:$B$506,"*",Bets!$L$2:$L$506,"ML")</f>
        <v/>
      </c>
      <c r="L35" s="11">
        <f>SUMIFS(Bets!$V$2:$V$506,Bets!$A$2:$A$506,"&lt;&gt;",Bets!$B$2:$B$506,"*",Bets!$L$2:$L$506,"ML")</f>
        <v/>
      </c>
      <c r="M35" s="12">
        <f>IF(K35=0,"",L35/K35)</f>
        <v/>
      </c>
      <c r="N35" s="13">
        <f>SUMIFS(Bets!$AD$2:$AD$506,Bets!$A$2:$A$506,"&lt;&gt;",Bets!$B$2:$B$506,"*",Bets!$L$2:$L$506,"ML")</f>
        <v/>
      </c>
      <c r="O35" s="14">
        <f>SUMIFS(Bets!$W$2:$W$506,Bets!$A$2:$A$506,"&lt;&gt;",Bets!$B$2:$B$506,"*",Bets!$L$2:$L$506,"ML")</f>
        <v/>
      </c>
      <c r="P35" s="12">
        <f>IF(N35=0,"",O35/N35)</f>
        <v/>
      </c>
    </row>
    <row r="36">
      <c r="A36" t="inlineStr">
        <is>
          <t>Combined</t>
        </is>
      </c>
      <c r="B36" t="inlineStr">
        <is>
          <t>NRFI</t>
        </is>
      </c>
      <c r="C36">
        <f>COUNTIFS(Bets!$A$2:$A$506,"&lt;&gt;",Bets!$B$2:$B$506,"*",Bets!$L$2:$L$506,"NRFI")</f>
        <v/>
      </c>
      <c r="D36">
        <f>COUNTIFS(Bets!$A$2:$A$506,"&lt;&gt;",Bets!$B$2:$B$506,"*",Bets!$L$2:$L$506,"NRFI",Bets!$U$2:$U$506,"W")</f>
        <v/>
      </c>
      <c r="E36">
        <f>COUNTIFS(Bets!$A$2:$A$506,"&lt;&gt;",Bets!$B$2:$B$506,"*",Bets!$L$2:$L$506,"NRFI",Bets!$U$2:$U$506,"L")</f>
        <v/>
      </c>
      <c r="F36">
        <f>COUNTIFS(Bets!$A$2:$A$506,"&lt;&gt;",Bets!$B$2:$B$506,"*",Bets!$L$2:$L$506,"NRFI",Bets!$U$2:$U$506,"Push")</f>
        <v/>
      </c>
      <c r="G36">
        <f>COUNTIFS(Bets!$A$2:$A$506,"&lt;&gt;",Bets!$B$2:$B$506,"*",Bets!$L$2:$L$506,"NRFI",Bets!$U$2:$U$506,"Pending")</f>
        <v/>
      </c>
      <c r="H36">
        <f>COUNTIFS(Bets!$A$2:$A$506,"&lt;&gt;",Bets!$B$2:$B$506,"*",Bets!$L$2:$L$506,"NRFI",Bets!$U$2:$U$506,"Unknown")</f>
        <v/>
      </c>
      <c r="I36" s="9">
        <f>IF(D36+E36=0,"",D36/(D36+E36))</f>
        <v/>
      </c>
      <c r="J36" s="10">
        <f>SUMIFS(Bets!$Q$2:$Q$506,Bets!$A$2:$A$506,"&lt;&gt;",Bets!$B$2:$B$506,"*",Bets!$L$2:$L$506,"NRFI")</f>
        <v/>
      </c>
      <c r="K36" s="10">
        <f>SUMIFS(Bets!$AC$2:$AC$506,Bets!$A$2:$A$506,"&lt;&gt;",Bets!$B$2:$B$506,"*",Bets!$L$2:$L$506,"NRFI")</f>
        <v/>
      </c>
      <c r="L36" s="11">
        <f>SUMIFS(Bets!$V$2:$V$506,Bets!$A$2:$A$506,"&lt;&gt;",Bets!$B$2:$B$506,"*",Bets!$L$2:$L$506,"NRFI")</f>
        <v/>
      </c>
      <c r="M36" s="12">
        <f>IF(K36=0,"",L36/K36)</f>
        <v/>
      </c>
      <c r="N36" s="13">
        <f>SUMIFS(Bets!$AD$2:$AD$506,Bets!$A$2:$A$506,"&lt;&gt;",Bets!$B$2:$B$506,"*",Bets!$L$2:$L$506,"NRFI")</f>
        <v/>
      </c>
      <c r="O36" s="14">
        <f>SUMIFS(Bets!$W$2:$W$506,Bets!$A$2:$A$506,"&lt;&gt;",Bets!$B$2:$B$506,"*",Bets!$L$2:$L$506,"NRFI")</f>
        <v/>
      </c>
      <c r="P36" s="12">
        <f>IF(N36=0,"",O36/N36)</f>
        <v/>
      </c>
    </row>
    <row r="37">
      <c r="A37" t="inlineStr">
        <is>
          <t>Combined</t>
        </is>
      </c>
      <c r="B37" t="inlineStr">
        <is>
          <t>PrizePicks/DFS</t>
        </is>
      </c>
      <c r="C37">
        <f>COUNTIFS(Bets!$A$2:$A$506,"&lt;&gt;",Bets!$B$2:$B$506,"*",Bets!$L$2:$L$506,"PrizePicks/DFS")</f>
        <v/>
      </c>
      <c r="D37">
        <f>COUNTIFS(Bets!$A$2:$A$506,"&lt;&gt;",Bets!$B$2:$B$506,"*",Bets!$L$2:$L$506,"PrizePicks/DFS",Bets!$U$2:$U$506,"W")</f>
        <v/>
      </c>
      <c r="E37">
        <f>COUNTIFS(Bets!$A$2:$A$506,"&lt;&gt;",Bets!$B$2:$B$506,"*",Bets!$L$2:$L$506,"PrizePicks/DFS",Bets!$U$2:$U$506,"L")</f>
        <v/>
      </c>
      <c r="F37">
        <f>COUNTIFS(Bets!$A$2:$A$506,"&lt;&gt;",Bets!$B$2:$B$506,"*",Bets!$L$2:$L$506,"PrizePicks/DFS",Bets!$U$2:$U$506,"Push")</f>
        <v/>
      </c>
      <c r="G37">
        <f>COUNTIFS(Bets!$A$2:$A$506,"&lt;&gt;",Bets!$B$2:$B$506,"*",Bets!$L$2:$L$506,"PrizePicks/DFS",Bets!$U$2:$U$506,"Pending")</f>
        <v/>
      </c>
      <c r="H37">
        <f>COUNTIFS(Bets!$A$2:$A$506,"&lt;&gt;",Bets!$B$2:$B$506,"*",Bets!$L$2:$L$506,"PrizePicks/DFS",Bets!$U$2:$U$506,"Unknown")</f>
        <v/>
      </c>
      <c r="I37" s="9">
        <f>IF(D37+E37=0,"",D37/(D37+E37))</f>
        <v/>
      </c>
      <c r="J37" s="10">
        <f>SUMIFS(Bets!$Q$2:$Q$506,Bets!$A$2:$A$506,"&lt;&gt;",Bets!$B$2:$B$506,"*",Bets!$L$2:$L$506,"PrizePicks/DFS")</f>
        <v/>
      </c>
      <c r="K37" s="10">
        <f>SUMIFS(Bets!$AC$2:$AC$506,Bets!$A$2:$A$506,"&lt;&gt;",Bets!$B$2:$B$506,"*",Bets!$L$2:$L$506,"PrizePicks/DFS")</f>
        <v/>
      </c>
      <c r="L37" s="11">
        <f>SUMIFS(Bets!$V$2:$V$506,Bets!$A$2:$A$506,"&lt;&gt;",Bets!$B$2:$B$506,"*",Bets!$L$2:$L$506,"PrizePicks/DFS")</f>
        <v/>
      </c>
      <c r="M37" s="12">
        <f>IF(K37=0,"",L37/K37)</f>
        <v/>
      </c>
      <c r="N37" s="13">
        <f>SUMIFS(Bets!$AD$2:$AD$506,Bets!$A$2:$A$506,"&lt;&gt;",Bets!$B$2:$B$506,"*",Bets!$L$2:$L$506,"PrizePicks/DFS")</f>
        <v/>
      </c>
      <c r="O37" s="14">
        <f>SUMIFS(Bets!$W$2:$W$506,Bets!$A$2:$A$506,"&lt;&gt;",Bets!$B$2:$B$506,"*",Bets!$L$2:$L$506,"PrizePicks/DFS")</f>
        <v/>
      </c>
      <c r="P37" s="12">
        <f>IF(N37=0,"",O37/N37)</f>
        <v/>
      </c>
    </row>
    <row r="38">
      <c r="A38" t="inlineStr">
        <is>
          <t>Combined</t>
        </is>
      </c>
      <c r="B38" t="inlineStr">
        <is>
          <t>card</t>
        </is>
      </c>
      <c r="C38">
        <f>COUNTIFS(Bets!$A$2:$A$506,"&lt;&gt;",Bets!$B$2:$B$506,"*",Bets!$L$2:$L$506,"card")</f>
        <v/>
      </c>
      <c r="D38">
        <f>COUNTIFS(Bets!$A$2:$A$506,"&lt;&gt;",Bets!$B$2:$B$506,"*",Bets!$L$2:$L$506,"card",Bets!$U$2:$U$506,"W")</f>
        <v/>
      </c>
      <c r="E38">
        <f>COUNTIFS(Bets!$A$2:$A$506,"&lt;&gt;",Bets!$B$2:$B$506,"*",Bets!$L$2:$L$506,"card",Bets!$U$2:$U$506,"L")</f>
        <v/>
      </c>
      <c r="F38">
        <f>COUNTIFS(Bets!$A$2:$A$506,"&lt;&gt;",Bets!$B$2:$B$506,"*",Bets!$L$2:$L$506,"card",Bets!$U$2:$U$506,"Push")</f>
        <v/>
      </c>
      <c r="G38">
        <f>COUNTIFS(Bets!$A$2:$A$506,"&lt;&gt;",Bets!$B$2:$B$506,"*",Bets!$L$2:$L$506,"card",Bets!$U$2:$U$506,"Pending")</f>
        <v/>
      </c>
      <c r="H38">
        <f>COUNTIFS(Bets!$A$2:$A$506,"&lt;&gt;",Bets!$B$2:$B$506,"*",Bets!$L$2:$L$506,"card",Bets!$U$2:$U$506,"Unknown")</f>
        <v/>
      </c>
      <c r="I38" s="9">
        <f>IF(D38+E38=0,"",D38/(D38+E38))</f>
        <v/>
      </c>
      <c r="J38" s="10">
        <f>SUMIFS(Bets!$Q$2:$Q$506,Bets!$A$2:$A$506,"&lt;&gt;",Bets!$B$2:$B$506,"*",Bets!$L$2:$L$506,"card")</f>
        <v/>
      </c>
      <c r="K38" s="10">
        <f>SUMIFS(Bets!$AC$2:$AC$506,Bets!$A$2:$A$506,"&lt;&gt;",Bets!$B$2:$B$506,"*",Bets!$L$2:$L$506,"card")</f>
        <v/>
      </c>
      <c r="L38" s="11">
        <f>SUMIFS(Bets!$V$2:$V$506,Bets!$A$2:$A$506,"&lt;&gt;",Bets!$B$2:$B$506,"*",Bets!$L$2:$L$506,"card")</f>
        <v/>
      </c>
      <c r="M38" s="12">
        <f>IF(K38=0,"",L38/K38)</f>
        <v/>
      </c>
      <c r="N38" s="13">
        <f>SUMIFS(Bets!$AD$2:$AD$506,Bets!$A$2:$A$506,"&lt;&gt;",Bets!$B$2:$B$506,"*",Bets!$L$2:$L$506,"card")</f>
        <v/>
      </c>
      <c r="O38" s="14">
        <f>SUMIFS(Bets!$W$2:$W$506,Bets!$A$2:$A$506,"&lt;&gt;",Bets!$B$2:$B$506,"*",Bets!$L$2:$L$506,"card")</f>
        <v/>
      </c>
      <c r="P38" s="12">
        <f>IF(N38=0,"",O38/N38)</f>
        <v/>
      </c>
    </row>
    <row r="39">
      <c r="A39" t="inlineStr">
        <is>
          <t>Combined</t>
        </is>
      </c>
      <c r="B39" t="inlineStr">
        <is>
          <t>double chance</t>
        </is>
      </c>
      <c r="C39">
        <f>COUNTIFS(Bets!$A$2:$A$506,"&lt;&gt;",Bets!$B$2:$B$506,"*",Bets!$L$2:$L$506,"double chance")</f>
        <v/>
      </c>
      <c r="D39">
        <f>COUNTIFS(Bets!$A$2:$A$506,"&lt;&gt;",Bets!$B$2:$B$506,"*",Bets!$L$2:$L$506,"double chance",Bets!$U$2:$U$506,"W")</f>
        <v/>
      </c>
      <c r="E39">
        <f>COUNTIFS(Bets!$A$2:$A$506,"&lt;&gt;",Bets!$B$2:$B$506,"*",Bets!$L$2:$L$506,"double chance",Bets!$U$2:$U$506,"L")</f>
        <v/>
      </c>
      <c r="F39">
        <f>COUNTIFS(Bets!$A$2:$A$506,"&lt;&gt;",Bets!$B$2:$B$506,"*",Bets!$L$2:$L$506,"double chance",Bets!$U$2:$U$506,"Push")</f>
        <v/>
      </c>
      <c r="G39">
        <f>COUNTIFS(Bets!$A$2:$A$506,"&lt;&gt;",Bets!$B$2:$B$506,"*",Bets!$L$2:$L$506,"double chance",Bets!$U$2:$U$506,"Pending")</f>
        <v/>
      </c>
      <c r="H39">
        <f>COUNTIFS(Bets!$A$2:$A$506,"&lt;&gt;",Bets!$B$2:$B$506,"*",Bets!$L$2:$L$506,"double chance",Bets!$U$2:$U$506,"Unknown")</f>
        <v/>
      </c>
      <c r="I39" s="9">
        <f>IF(D39+E39=0,"",D39/(D39+E39))</f>
        <v/>
      </c>
      <c r="J39" s="10">
        <f>SUMIFS(Bets!$Q$2:$Q$506,Bets!$A$2:$A$506,"&lt;&gt;",Bets!$B$2:$B$506,"*",Bets!$L$2:$L$506,"double chance")</f>
        <v/>
      </c>
      <c r="K39" s="10">
        <f>SUMIFS(Bets!$AC$2:$AC$506,Bets!$A$2:$A$506,"&lt;&gt;",Bets!$B$2:$B$506,"*",Bets!$L$2:$L$506,"double chance")</f>
        <v/>
      </c>
      <c r="L39" s="11">
        <f>SUMIFS(Bets!$V$2:$V$506,Bets!$A$2:$A$506,"&lt;&gt;",Bets!$B$2:$B$506,"*",Bets!$L$2:$L$506,"double chance")</f>
        <v/>
      </c>
      <c r="M39" s="12">
        <f>IF(K39=0,"",L39/K39)</f>
        <v/>
      </c>
      <c r="N39" s="13">
        <f>SUMIFS(Bets!$AD$2:$AD$506,Bets!$A$2:$A$506,"&lt;&gt;",Bets!$B$2:$B$506,"*",Bets!$L$2:$L$506,"double chance")</f>
        <v/>
      </c>
      <c r="O39" s="14">
        <f>SUMIFS(Bets!$W$2:$W$506,Bets!$A$2:$A$506,"&lt;&gt;",Bets!$B$2:$B$506,"*",Bets!$L$2:$L$506,"double chance")</f>
        <v/>
      </c>
      <c r="P39" s="12">
        <f>IF(N39=0,"",O39/N39)</f>
        <v/>
      </c>
    </row>
    <row r="40">
      <c r="A40" t="inlineStr">
        <is>
          <t>Combined</t>
        </is>
      </c>
      <c r="B40" t="inlineStr">
        <is>
          <t>first TD</t>
        </is>
      </c>
      <c r="C40">
        <f>COUNTIFS(Bets!$A$2:$A$506,"&lt;&gt;",Bets!$B$2:$B$506,"*",Bets!$L$2:$L$506,"first TD")</f>
        <v/>
      </c>
      <c r="D40">
        <f>COUNTIFS(Bets!$A$2:$A$506,"&lt;&gt;",Bets!$B$2:$B$506,"*",Bets!$L$2:$L$506,"first TD",Bets!$U$2:$U$506,"W")</f>
        <v/>
      </c>
      <c r="E40">
        <f>COUNTIFS(Bets!$A$2:$A$506,"&lt;&gt;",Bets!$B$2:$B$506,"*",Bets!$L$2:$L$506,"first TD",Bets!$U$2:$U$506,"L")</f>
        <v/>
      </c>
      <c r="F40">
        <f>COUNTIFS(Bets!$A$2:$A$506,"&lt;&gt;",Bets!$B$2:$B$506,"*",Bets!$L$2:$L$506,"first TD",Bets!$U$2:$U$506,"Push")</f>
        <v/>
      </c>
      <c r="G40">
        <f>COUNTIFS(Bets!$A$2:$A$506,"&lt;&gt;",Bets!$B$2:$B$506,"*",Bets!$L$2:$L$506,"first TD",Bets!$U$2:$U$506,"Pending")</f>
        <v/>
      </c>
      <c r="H40">
        <f>COUNTIFS(Bets!$A$2:$A$506,"&lt;&gt;",Bets!$B$2:$B$506,"*",Bets!$L$2:$L$506,"first TD",Bets!$U$2:$U$506,"Unknown")</f>
        <v/>
      </c>
      <c r="I40" s="9">
        <f>IF(D40+E40=0,"",D40/(D40+E40))</f>
        <v/>
      </c>
      <c r="J40" s="10">
        <f>SUMIFS(Bets!$Q$2:$Q$506,Bets!$A$2:$A$506,"&lt;&gt;",Bets!$B$2:$B$506,"*",Bets!$L$2:$L$506,"first TD")</f>
        <v/>
      </c>
      <c r="K40" s="10">
        <f>SUMIFS(Bets!$AC$2:$AC$506,Bets!$A$2:$A$506,"&lt;&gt;",Bets!$B$2:$B$506,"*",Bets!$L$2:$L$506,"first TD")</f>
        <v/>
      </c>
      <c r="L40" s="11">
        <f>SUMIFS(Bets!$V$2:$V$506,Bets!$A$2:$A$506,"&lt;&gt;",Bets!$B$2:$B$506,"*",Bets!$L$2:$L$506,"first TD")</f>
        <v/>
      </c>
      <c r="M40" s="12">
        <f>IF(K40=0,"",L40/K40)</f>
        <v/>
      </c>
      <c r="N40" s="13">
        <f>SUMIFS(Bets!$AD$2:$AD$506,Bets!$A$2:$A$506,"&lt;&gt;",Bets!$B$2:$B$506,"*",Bets!$L$2:$L$506,"first TD")</f>
        <v/>
      </c>
      <c r="O40" s="14">
        <f>SUMIFS(Bets!$W$2:$W$506,Bets!$A$2:$A$506,"&lt;&gt;",Bets!$B$2:$B$506,"*",Bets!$L$2:$L$506,"first TD")</f>
        <v/>
      </c>
      <c r="P40" s="12">
        <f>IF(N40=0,"",O40/N40)</f>
        <v/>
      </c>
    </row>
    <row r="41">
      <c r="A41" t="inlineStr">
        <is>
          <t>Combined</t>
        </is>
      </c>
      <c r="B41" t="inlineStr">
        <is>
          <t>futures</t>
        </is>
      </c>
      <c r="C41">
        <f>COUNTIFS(Bets!$A$2:$A$506,"&lt;&gt;",Bets!$B$2:$B$506,"*",Bets!$L$2:$L$506,"futures")</f>
        <v/>
      </c>
      <c r="D41">
        <f>COUNTIFS(Bets!$A$2:$A$506,"&lt;&gt;",Bets!$B$2:$B$506,"*",Bets!$L$2:$L$506,"futures",Bets!$U$2:$U$506,"W")</f>
        <v/>
      </c>
      <c r="E41">
        <f>COUNTIFS(Bets!$A$2:$A$506,"&lt;&gt;",Bets!$B$2:$B$506,"*",Bets!$L$2:$L$506,"futures",Bets!$U$2:$U$506,"L")</f>
        <v/>
      </c>
      <c r="F41">
        <f>COUNTIFS(Bets!$A$2:$A$506,"&lt;&gt;",Bets!$B$2:$B$506,"*",Bets!$L$2:$L$506,"futures",Bets!$U$2:$U$506,"Push")</f>
        <v/>
      </c>
      <c r="G41">
        <f>COUNTIFS(Bets!$A$2:$A$506,"&lt;&gt;",Bets!$B$2:$B$506,"*",Bets!$L$2:$L$506,"futures",Bets!$U$2:$U$506,"Pending")</f>
        <v/>
      </c>
      <c r="H41">
        <f>COUNTIFS(Bets!$A$2:$A$506,"&lt;&gt;",Bets!$B$2:$B$506,"*",Bets!$L$2:$L$506,"futures",Bets!$U$2:$U$506,"Unknown")</f>
        <v/>
      </c>
      <c r="I41" s="9">
        <f>IF(D41+E41=0,"",D41/(D41+E41))</f>
        <v/>
      </c>
      <c r="J41" s="10">
        <f>SUMIFS(Bets!$Q$2:$Q$506,Bets!$A$2:$A$506,"&lt;&gt;",Bets!$B$2:$B$506,"*",Bets!$L$2:$L$506,"futures")</f>
        <v/>
      </c>
      <c r="K41" s="10">
        <f>SUMIFS(Bets!$AC$2:$AC$506,Bets!$A$2:$A$506,"&lt;&gt;",Bets!$B$2:$B$506,"*",Bets!$L$2:$L$506,"futures")</f>
        <v/>
      </c>
      <c r="L41" s="11">
        <f>SUMIFS(Bets!$V$2:$V$506,Bets!$A$2:$A$506,"&lt;&gt;",Bets!$B$2:$B$506,"*",Bets!$L$2:$L$506,"futures")</f>
        <v/>
      </c>
      <c r="M41" s="12">
        <f>IF(K41=0,"",L41/K41)</f>
        <v/>
      </c>
      <c r="N41" s="13">
        <f>SUMIFS(Bets!$AD$2:$AD$506,Bets!$A$2:$A$506,"&lt;&gt;",Bets!$B$2:$B$506,"*",Bets!$L$2:$L$506,"futures")</f>
        <v/>
      </c>
      <c r="O41" s="14">
        <f>SUMIFS(Bets!$W$2:$W$506,Bets!$A$2:$A$506,"&lt;&gt;",Bets!$B$2:$B$506,"*",Bets!$L$2:$L$506,"futures")</f>
        <v/>
      </c>
      <c r="P41" s="12">
        <f>IF(N41=0,"",O41/N41)</f>
        <v/>
      </c>
    </row>
    <row r="42">
      <c r="A42" t="inlineStr">
        <is>
          <t>Combined</t>
        </is>
      </c>
      <c r="B42" t="inlineStr">
        <is>
          <t>other</t>
        </is>
      </c>
      <c r="C42">
        <f>COUNTIFS(Bets!$A$2:$A$506,"&lt;&gt;",Bets!$B$2:$B$506,"*",Bets!$L$2:$L$506,"other")</f>
        <v/>
      </c>
      <c r="D42">
        <f>COUNTIFS(Bets!$A$2:$A$506,"&lt;&gt;",Bets!$B$2:$B$506,"*",Bets!$L$2:$L$506,"other",Bets!$U$2:$U$506,"W")</f>
        <v/>
      </c>
      <c r="E42">
        <f>COUNTIFS(Bets!$A$2:$A$506,"&lt;&gt;",Bets!$B$2:$B$506,"*",Bets!$L$2:$L$506,"other",Bets!$U$2:$U$506,"L")</f>
        <v/>
      </c>
      <c r="F42">
        <f>COUNTIFS(Bets!$A$2:$A$506,"&lt;&gt;",Bets!$B$2:$B$506,"*",Bets!$L$2:$L$506,"other",Bets!$U$2:$U$506,"Push")</f>
        <v/>
      </c>
      <c r="G42">
        <f>COUNTIFS(Bets!$A$2:$A$506,"&lt;&gt;",Bets!$B$2:$B$506,"*",Bets!$L$2:$L$506,"other",Bets!$U$2:$U$506,"Pending")</f>
        <v/>
      </c>
      <c r="H42">
        <f>COUNTIFS(Bets!$A$2:$A$506,"&lt;&gt;",Bets!$B$2:$B$506,"*",Bets!$L$2:$L$506,"other",Bets!$U$2:$U$506,"Unknown")</f>
        <v/>
      </c>
      <c r="I42" s="9">
        <f>IF(D42+E42=0,"",D42/(D42+E42))</f>
        <v/>
      </c>
      <c r="J42" s="10">
        <f>SUMIFS(Bets!$Q$2:$Q$506,Bets!$A$2:$A$506,"&lt;&gt;",Bets!$B$2:$B$506,"*",Bets!$L$2:$L$506,"other")</f>
        <v/>
      </c>
      <c r="K42" s="10">
        <f>SUMIFS(Bets!$AC$2:$AC$506,Bets!$A$2:$A$506,"&lt;&gt;",Bets!$B$2:$B$506,"*",Bets!$L$2:$L$506,"other")</f>
        <v/>
      </c>
      <c r="L42" s="11">
        <f>SUMIFS(Bets!$V$2:$V$506,Bets!$A$2:$A$506,"&lt;&gt;",Bets!$B$2:$B$506,"*",Bets!$L$2:$L$506,"other")</f>
        <v/>
      </c>
      <c r="M42" s="12">
        <f>IF(K42=0,"",L42/K42)</f>
        <v/>
      </c>
      <c r="N42" s="13">
        <f>SUMIFS(Bets!$AD$2:$AD$506,Bets!$A$2:$A$506,"&lt;&gt;",Bets!$B$2:$B$506,"*",Bets!$L$2:$L$506,"other")</f>
        <v/>
      </c>
      <c r="O42" s="14">
        <f>SUMIFS(Bets!$W$2:$W$506,Bets!$A$2:$A$506,"&lt;&gt;",Bets!$B$2:$B$506,"*",Bets!$L$2:$L$506,"other")</f>
        <v/>
      </c>
      <c r="P42" s="12">
        <f>IF(N42=0,"",O42/N42)</f>
        <v/>
      </c>
    </row>
    <row r="43">
      <c r="A43" t="inlineStr">
        <is>
          <t>Combined</t>
        </is>
      </c>
      <c r="B43" t="inlineStr">
        <is>
          <t>parlay</t>
        </is>
      </c>
      <c r="C43">
        <f>COUNTIFS(Bets!$A$2:$A$506,"&lt;&gt;",Bets!$B$2:$B$506,"*",Bets!$L$2:$L$506,"parlay")</f>
        <v/>
      </c>
      <c r="D43">
        <f>COUNTIFS(Bets!$A$2:$A$506,"&lt;&gt;",Bets!$B$2:$B$506,"*",Bets!$L$2:$L$506,"parlay",Bets!$U$2:$U$506,"W")</f>
        <v/>
      </c>
      <c r="E43">
        <f>COUNTIFS(Bets!$A$2:$A$506,"&lt;&gt;",Bets!$B$2:$B$506,"*",Bets!$L$2:$L$506,"parlay",Bets!$U$2:$U$506,"L")</f>
        <v/>
      </c>
      <c r="F43">
        <f>COUNTIFS(Bets!$A$2:$A$506,"&lt;&gt;",Bets!$B$2:$B$506,"*",Bets!$L$2:$L$506,"parlay",Bets!$U$2:$U$506,"Push")</f>
        <v/>
      </c>
      <c r="G43">
        <f>COUNTIFS(Bets!$A$2:$A$506,"&lt;&gt;",Bets!$B$2:$B$506,"*",Bets!$L$2:$L$506,"parlay",Bets!$U$2:$U$506,"Pending")</f>
        <v/>
      </c>
      <c r="H43">
        <f>COUNTIFS(Bets!$A$2:$A$506,"&lt;&gt;",Bets!$B$2:$B$506,"*",Bets!$L$2:$L$506,"parlay",Bets!$U$2:$U$506,"Unknown")</f>
        <v/>
      </c>
      <c r="I43" s="9">
        <f>IF(D43+E43=0,"",D43/(D43+E43))</f>
        <v/>
      </c>
      <c r="J43" s="10">
        <f>SUMIFS(Bets!$Q$2:$Q$506,Bets!$A$2:$A$506,"&lt;&gt;",Bets!$B$2:$B$506,"*",Bets!$L$2:$L$506,"parlay")</f>
        <v/>
      </c>
      <c r="K43" s="10">
        <f>SUMIFS(Bets!$AC$2:$AC$506,Bets!$A$2:$A$506,"&lt;&gt;",Bets!$B$2:$B$506,"*",Bets!$L$2:$L$506,"parlay")</f>
        <v/>
      </c>
      <c r="L43" s="11">
        <f>SUMIFS(Bets!$V$2:$V$506,Bets!$A$2:$A$506,"&lt;&gt;",Bets!$B$2:$B$506,"*",Bets!$L$2:$L$506,"parlay")</f>
        <v/>
      </c>
      <c r="M43" s="12">
        <f>IF(K43=0,"",L43/K43)</f>
        <v/>
      </c>
      <c r="N43" s="13">
        <f>SUMIFS(Bets!$AD$2:$AD$506,Bets!$A$2:$A$506,"&lt;&gt;",Bets!$B$2:$B$506,"*",Bets!$L$2:$L$506,"parlay")</f>
        <v/>
      </c>
      <c r="O43" s="14">
        <f>SUMIFS(Bets!$W$2:$W$506,Bets!$A$2:$A$506,"&lt;&gt;",Bets!$B$2:$B$506,"*",Bets!$L$2:$L$506,"parlay")</f>
        <v/>
      </c>
      <c r="P43" s="12">
        <f>IF(N43=0,"",O43/N43)</f>
        <v/>
      </c>
    </row>
    <row r="44">
      <c r="A44" t="inlineStr">
        <is>
          <t>Combined</t>
        </is>
      </c>
      <c r="B44" t="inlineStr">
        <is>
          <t>prop</t>
        </is>
      </c>
      <c r="C44">
        <f>COUNTIFS(Bets!$A$2:$A$506,"&lt;&gt;",Bets!$B$2:$B$506,"*",Bets!$L$2:$L$506,"prop")</f>
        <v/>
      </c>
      <c r="D44">
        <f>COUNTIFS(Bets!$A$2:$A$506,"&lt;&gt;",Bets!$B$2:$B$506,"*",Bets!$L$2:$L$506,"prop",Bets!$U$2:$U$506,"W")</f>
        <v/>
      </c>
      <c r="E44">
        <f>COUNTIFS(Bets!$A$2:$A$506,"&lt;&gt;",Bets!$B$2:$B$506,"*",Bets!$L$2:$L$506,"prop",Bets!$U$2:$U$506,"L")</f>
        <v/>
      </c>
      <c r="F44">
        <f>COUNTIFS(Bets!$A$2:$A$506,"&lt;&gt;",Bets!$B$2:$B$506,"*",Bets!$L$2:$L$506,"prop",Bets!$U$2:$U$506,"Push")</f>
        <v/>
      </c>
      <c r="G44">
        <f>COUNTIFS(Bets!$A$2:$A$506,"&lt;&gt;",Bets!$B$2:$B$506,"*",Bets!$L$2:$L$506,"prop",Bets!$U$2:$U$506,"Pending")</f>
        <v/>
      </c>
      <c r="H44">
        <f>COUNTIFS(Bets!$A$2:$A$506,"&lt;&gt;",Bets!$B$2:$B$506,"*",Bets!$L$2:$L$506,"prop",Bets!$U$2:$U$506,"Unknown")</f>
        <v/>
      </c>
      <c r="I44" s="9">
        <f>IF(D44+E44=0,"",D44/(D44+E44))</f>
        <v/>
      </c>
      <c r="J44" s="10">
        <f>SUMIFS(Bets!$Q$2:$Q$506,Bets!$A$2:$A$506,"&lt;&gt;",Bets!$B$2:$B$506,"*",Bets!$L$2:$L$506,"prop")</f>
        <v/>
      </c>
      <c r="K44" s="10">
        <f>SUMIFS(Bets!$AC$2:$AC$506,Bets!$A$2:$A$506,"&lt;&gt;",Bets!$B$2:$B$506,"*",Bets!$L$2:$L$506,"prop")</f>
        <v/>
      </c>
      <c r="L44" s="11">
        <f>SUMIFS(Bets!$V$2:$V$506,Bets!$A$2:$A$506,"&lt;&gt;",Bets!$B$2:$B$506,"*",Bets!$L$2:$L$506,"prop")</f>
        <v/>
      </c>
      <c r="M44" s="12">
        <f>IF(K44=0,"",L44/K44)</f>
        <v/>
      </c>
      <c r="N44" s="13">
        <f>SUMIFS(Bets!$AD$2:$AD$506,Bets!$A$2:$A$506,"&lt;&gt;",Bets!$B$2:$B$506,"*",Bets!$L$2:$L$506,"prop")</f>
        <v/>
      </c>
      <c r="O44" s="14">
        <f>SUMIFS(Bets!$W$2:$W$506,Bets!$A$2:$A$506,"&lt;&gt;",Bets!$B$2:$B$506,"*",Bets!$L$2:$L$506,"prop")</f>
        <v/>
      </c>
      <c r="P44" s="12">
        <f>IF(N44=0,"",O44/N44)</f>
        <v/>
      </c>
    </row>
    <row r="45">
      <c r="A45" t="inlineStr">
        <is>
          <t>Combined</t>
        </is>
      </c>
      <c r="B45" t="inlineStr">
        <is>
          <t>spread</t>
        </is>
      </c>
      <c r="C45">
        <f>COUNTIFS(Bets!$A$2:$A$506,"&lt;&gt;",Bets!$B$2:$B$506,"*",Bets!$L$2:$L$506,"spread")</f>
        <v/>
      </c>
      <c r="D45">
        <f>COUNTIFS(Bets!$A$2:$A$506,"&lt;&gt;",Bets!$B$2:$B$506,"*",Bets!$L$2:$L$506,"spread",Bets!$U$2:$U$506,"W")</f>
        <v/>
      </c>
      <c r="E45">
        <f>COUNTIFS(Bets!$A$2:$A$506,"&lt;&gt;",Bets!$B$2:$B$506,"*",Bets!$L$2:$L$506,"spread",Bets!$U$2:$U$506,"L")</f>
        <v/>
      </c>
      <c r="F45">
        <f>COUNTIFS(Bets!$A$2:$A$506,"&lt;&gt;",Bets!$B$2:$B$506,"*",Bets!$L$2:$L$506,"spread",Bets!$U$2:$U$506,"Push")</f>
        <v/>
      </c>
      <c r="G45">
        <f>COUNTIFS(Bets!$A$2:$A$506,"&lt;&gt;",Bets!$B$2:$B$506,"*",Bets!$L$2:$L$506,"spread",Bets!$U$2:$U$506,"Pending")</f>
        <v/>
      </c>
      <c r="H45">
        <f>COUNTIFS(Bets!$A$2:$A$506,"&lt;&gt;",Bets!$B$2:$B$506,"*",Bets!$L$2:$L$506,"spread",Bets!$U$2:$U$506,"Unknown")</f>
        <v/>
      </c>
      <c r="I45" s="9">
        <f>IF(D45+E45=0,"",D45/(D45+E45))</f>
        <v/>
      </c>
      <c r="J45" s="10">
        <f>SUMIFS(Bets!$Q$2:$Q$506,Bets!$A$2:$A$506,"&lt;&gt;",Bets!$B$2:$B$506,"*",Bets!$L$2:$L$506,"spread")</f>
        <v/>
      </c>
      <c r="K45" s="10">
        <f>SUMIFS(Bets!$AC$2:$AC$506,Bets!$A$2:$A$506,"&lt;&gt;",Bets!$B$2:$B$506,"*",Bets!$L$2:$L$506,"spread")</f>
        <v/>
      </c>
      <c r="L45" s="11">
        <f>SUMIFS(Bets!$V$2:$V$506,Bets!$A$2:$A$506,"&lt;&gt;",Bets!$B$2:$B$506,"*",Bets!$L$2:$L$506,"spread")</f>
        <v/>
      </c>
      <c r="M45" s="12">
        <f>IF(K45=0,"",L45/K45)</f>
        <v/>
      </c>
      <c r="N45" s="13">
        <f>SUMIFS(Bets!$AD$2:$AD$506,Bets!$A$2:$A$506,"&lt;&gt;",Bets!$B$2:$B$506,"*",Bets!$L$2:$L$506,"spread")</f>
        <v/>
      </c>
      <c r="O45" s="14">
        <f>SUMIFS(Bets!$W$2:$W$506,Bets!$A$2:$A$506,"&lt;&gt;",Bets!$B$2:$B$506,"*",Bets!$L$2:$L$506,"spread")</f>
        <v/>
      </c>
      <c r="P45" s="12">
        <f>IF(N45=0,"",O45/N45)</f>
        <v/>
      </c>
    </row>
    <row r="46">
      <c r="A46" t="inlineStr">
        <is>
          <t>Combined</t>
        </is>
      </c>
      <c r="B46" t="inlineStr">
        <is>
          <t>total</t>
        </is>
      </c>
      <c r="C46">
        <f>COUNTIFS(Bets!$A$2:$A$506,"&lt;&gt;",Bets!$B$2:$B$506,"*",Bets!$L$2:$L$506,"total")</f>
        <v/>
      </c>
      <c r="D46">
        <f>COUNTIFS(Bets!$A$2:$A$506,"&lt;&gt;",Bets!$B$2:$B$506,"*",Bets!$L$2:$L$506,"total",Bets!$U$2:$U$506,"W")</f>
        <v/>
      </c>
      <c r="E46">
        <f>COUNTIFS(Bets!$A$2:$A$506,"&lt;&gt;",Bets!$B$2:$B$506,"*",Bets!$L$2:$L$506,"total",Bets!$U$2:$U$506,"L")</f>
        <v/>
      </c>
      <c r="F46">
        <f>COUNTIFS(Bets!$A$2:$A$506,"&lt;&gt;",Bets!$B$2:$B$506,"*",Bets!$L$2:$L$506,"total",Bets!$U$2:$U$506,"Push")</f>
        <v/>
      </c>
      <c r="G46">
        <f>COUNTIFS(Bets!$A$2:$A$506,"&lt;&gt;",Bets!$B$2:$B$506,"*",Bets!$L$2:$L$506,"total",Bets!$U$2:$U$506,"Pending")</f>
        <v/>
      </c>
      <c r="H46">
        <f>COUNTIFS(Bets!$A$2:$A$506,"&lt;&gt;",Bets!$B$2:$B$506,"*",Bets!$L$2:$L$506,"total",Bets!$U$2:$U$506,"Unknown")</f>
        <v/>
      </c>
      <c r="I46" s="9">
        <f>IF(D46+E46=0,"",D46/(D46+E46))</f>
        <v/>
      </c>
      <c r="J46" s="10">
        <f>SUMIFS(Bets!$Q$2:$Q$506,Bets!$A$2:$A$506,"&lt;&gt;",Bets!$B$2:$B$506,"*",Bets!$L$2:$L$506,"total")</f>
        <v/>
      </c>
      <c r="K46" s="10">
        <f>SUMIFS(Bets!$AC$2:$AC$506,Bets!$A$2:$A$506,"&lt;&gt;",Bets!$B$2:$B$506,"*",Bets!$L$2:$L$506,"total")</f>
        <v/>
      </c>
      <c r="L46" s="11">
        <f>SUMIFS(Bets!$V$2:$V$506,Bets!$A$2:$A$506,"&lt;&gt;",Bets!$B$2:$B$506,"*",Bets!$L$2:$L$506,"total")</f>
        <v/>
      </c>
      <c r="M46" s="12">
        <f>IF(K46=0,"",L46/K46)</f>
        <v/>
      </c>
      <c r="N46" s="13">
        <f>SUMIFS(Bets!$AD$2:$AD$506,Bets!$A$2:$A$506,"&lt;&gt;",Bets!$B$2:$B$506,"*",Bets!$L$2:$L$506,"total")</f>
        <v/>
      </c>
      <c r="O46" s="14">
        <f>SUMIFS(Bets!$W$2:$W$506,Bets!$A$2:$A$506,"&lt;&gt;",Bets!$B$2:$B$506,"*",Bets!$L$2:$L$506,"total")</f>
        <v/>
      </c>
      <c r="P46" s="12">
        <f>IF(N46=0,"",O46/N46)</f>
        <v/>
      </c>
    </row>
    <row r="48">
      <c r="A48" s="7" t="inlineStr">
        <is>
          <t>Singles vs parlays/multi-leg</t>
        </is>
      </c>
    </row>
    <row r="49">
      <c r="A49" s="8" t="inlineStr">
        <is>
          <t>Bettor</t>
        </is>
      </c>
      <c r="B49" s="8" t="inlineStr">
        <is>
          <t>Structure</t>
        </is>
      </c>
      <c r="C49" s="8" t="inlineStr">
        <is>
          <t>Bets</t>
        </is>
      </c>
      <c r="D49" s="8" t="inlineStr">
        <is>
          <t>W</t>
        </is>
      </c>
      <c r="E49" s="8" t="inlineStr">
        <is>
          <t>L</t>
        </is>
      </c>
      <c r="F49" s="8" t="inlineStr">
        <is>
          <t>Push</t>
        </is>
      </c>
      <c r="G49" s="8" t="inlineStr">
        <is>
          <t>Pending</t>
        </is>
      </c>
      <c r="H49" s="8" t="inlineStr">
        <is>
          <t>Unknown</t>
        </is>
      </c>
      <c r="I49" s="8" t="inlineStr">
        <is>
          <t>Win % (W/(W+L))</t>
        </is>
      </c>
      <c r="J49" s="8" t="inlineStr">
        <is>
          <t>Total staked $ (all $ bets)</t>
        </is>
      </c>
      <c r="K49" s="8" t="inlineStr">
        <is>
          <t>Settled staked $</t>
        </is>
      </c>
      <c r="L49" s="8" t="inlineStr">
        <is>
          <t>Net P/L $</t>
        </is>
      </c>
      <c r="M49" s="8" t="inlineStr">
        <is>
          <t>ROI (net / settled $)</t>
        </is>
      </c>
      <c r="N49" s="8" t="inlineStr">
        <is>
          <t>Units staked (settled)</t>
        </is>
      </c>
      <c r="O49" s="8" t="inlineStr">
        <is>
          <t>Net units</t>
        </is>
      </c>
      <c r="P49" s="8" t="inlineStr">
        <is>
          <t>ROI (units)</t>
        </is>
      </c>
    </row>
    <row r="50">
      <c r="A50" t="inlineStr">
        <is>
          <t>Trent (@BookitWithTrent)</t>
        </is>
      </c>
      <c r="B50" t="inlineStr">
        <is>
          <t>Single</t>
        </is>
      </c>
      <c r="C50">
        <f>COUNTIFS(Bets!$A$2:$A$506,"&lt;&gt;",Bets!$B$2:$B$506,"Trent",Bets!$AB$2:$AB$506,"Single")</f>
        <v/>
      </c>
      <c r="D50">
        <f>COUNTIFS(Bets!$A$2:$A$506,"&lt;&gt;",Bets!$B$2:$B$506,"Trent",Bets!$AB$2:$AB$506,"Single",Bets!$U$2:$U$506,"W")</f>
        <v/>
      </c>
      <c r="E50">
        <f>COUNTIFS(Bets!$A$2:$A$506,"&lt;&gt;",Bets!$B$2:$B$506,"Trent",Bets!$AB$2:$AB$506,"Single",Bets!$U$2:$U$506,"L")</f>
        <v/>
      </c>
      <c r="F50">
        <f>COUNTIFS(Bets!$A$2:$A$506,"&lt;&gt;",Bets!$B$2:$B$506,"Trent",Bets!$AB$2:$AB$506,"Single",Bets!$U$2:$U$506,"Push")</f>
        <v/>
      </c>
      <c r="G50">
        <f>COUNTIFS(Bets!$A$2:$A$506,"&lt;&gt;",Bets!$B$2:$B$506,"Trent",Bets!$AB$2:$AB$506,"Single",Bets!$U$2:$U$506,"Pending")</f>
        <v/>
      </c>
      <c r="H50">
        <f>COUNTIFS(Bets!$A$2:$A$506,"&lt;&gt;",Bets!$B$2:$B$506,"Trent",Bets!$AB$2:$AB$506,"Single",Bets!$U$2:$U$506,"Unknown")</f>
        <v/>
      </c>
      <c r="I50" s="9">
        <f>IF(D50+E50=0,"",D50/(D50+E50))</f>
        <v/>
      </c>
      <c r="J50" s="10">
        <f>SUMIFS(Bets!$Q$2:$Q$506,Bets!$A$2:$A$506,"&lt;&gt;",Bets!$B$2:$B$506,"Trent",Bets!$AB$2:$AB$506,"Single")</f>
        <v/>
      </c>
      <c r="K50" s="10">
        <f>SUMIFS(Bets!$AC$2:$AC$506,Bets!$A$2:$A$506,"&lt;&gt;",Bets!$B$2:$B$506,"Trent",Bets!$AB$2:$AB$506,"Single")</f>
        <v/>
      </c>
      <c r="L50" s="11">
        <f>SUMIFS(Bets!$V$2:$V$506,Bets!$A$2:$A$506,"&lt;&gt;",Bets!$B$2:$B$506,"Trent",Bets!$AB$2:$AB$506,"Single")</f>
        <v/>
      </c>
      <c r="M50" s="12">
        <f>IF(K50=0,"",L50/K50)</f>
        <v/>
      </c>
      <c r="N50" s="13">
        <f>SUMIFS(Bets!$AD$2:$AD$506,Bets!$A$2:$A$506,"&lt;&gt;",Bets!$B$2:$B$506,"Trent",Bets!$AB$2:$AB$506,"Single")</f>
        <v/>
      </c>
      <c r="O50" s="14">
        <f>SUMIFS(Bets!$W$2:$W$506,Bets!$A$2:$A$506,"&lt;&gt;",Bets!$B$2:$B$506,"Trent",Bets!$AB$2:$AB$506,"Single")</f>
        <v/>
      </c>
      <c r="P50" s="12">
        <f>IF(N50=0,"",O50/N50)</f>
        <v/>
      </c>
    </row>
    <row r="51">
      <c r="A51" t="inlineStr">
        <is>
          <t>Trent (@BookitWithTrent)</t>
        </is>
      </c>
      <c r="B51" t="inlineStr">
        <is>
          <t>Parlay/multi-leg</t>
        </is>
      </c>
      <c r="C51">
        <f>COUNTIFS(Bets!$A$2:$A$506,"&lt;&gt;",Bets!$B$2:$B$506,"Trent",Bets!$AB$2:$AB$506,"Parlay/multi-leg")</f>
        <v/>
      </c>
      <c r="D51">
        <f>COUNTIFS(Bets!$A$2:$A$506,"&lt;&gt;",Bets!$B$2:$B$506,"Trent",Bets!$AB$2:$AB$506,"Parlay/multi-leg",Bets!$U$2:$U$506,"W")</f>
        <v/>
      </c>
      <c r="E51">
        <f>COUNTIFS(Bets!$A$2:$A$506,"&lt;&gt;",Bets!$B$2:$B$506,"Trent",Bets!$AB$2:$AB$506,"Parlay/multi-leg",Bets!$U$2:$U$506,"L")</f>
        <v/>
      </c>
      <c r="F51">
        <f>COUNTIFS(Bets!$A$2:$A$506,"&lt;&gt;",Bets!$B$2:$B$506,"Trent",Bets!$AB$2:$AB$506,"Parlay/multi-leg",Bets!$U$2:$U$506,"Push")</f>
        <v/>
      </c>
      <c r="G51">
        <f>COUNTIFS(Bets!$A$2:$A$506,"&lt;&gt;",Bets!$B$2:$B$506,"Trent",Bets!$AB$2:$AB$506,"Parlay/multi-leg",Bets!$U$2:$U$506,"Pending")</f>
        <v/>
      </c>
      <c r="H51">
        <f>COUNTIFS(Bets!$A$2:$A$506,"&lt;&gt;",Bets!$B$2:$B$506,"Trent",Bets!$AB$2:$AB$506,"Parlay/multi-leg",Bets!$U$2:$U$506,"Unknown")</f>
        <v/>
      </c>
      <c r="I51" s="9">
        <f>IF(D51+E51=0,"",D51/(D51+E51))</f>
        <v/>
      </c>
      <c r="J51" s="10">
        <f>SUMIFS(Bets!$Q$2:$Q$506,Bets!$A$2:$A$506,"&lt;&gt;",Bets!$B$2:$B$506,"Trent",Bets!$AB$2:$AB$506,"Parlay/multi-leg")</f>
        <v/>
      </c>
      <c r="K51" s="10">
        <f>SUMIFS(Bets!$AC$2:$AC$506,Bets!$A$2:$A$506,"&lt;&gt;",Bets!$B$2:$B$506,"Trent",Bets!$AB$2:$AB$506,"Parlay/multi-leg")</f>
        <v/>
      </c>
      <c r="L51" s="11">
        <f>SUMIFS(Bets!$V$2:$V$506,Bets!$A$2:$A$506,"&lt;&gt;",Bets!$B$2:$B$506,"Trent",Bets!$AB$2:$AB$506,"Parlay/multi-leg")</f>
        <v/>
      </c>
      <c r="M51" s="12">
        <f>IF(K51=0,"",L51/K51)</f>
        <v/>
      </c>
      <c r="N51" s="13">
        <f>SUMIFS(Bets!$AD$2:$AD$506,Bets!$A$2:$A$506,"&lt;&gt;",Bets!$B$2:$B$506,"Trent",Bets!$AB$2:$AB$506,"Parlay/multi-leg")</f>
        <v/>
      </c>
      <c r="O51" s="14">
        <f>SUMIFS(Bets!$W$2:$W$506,Bets!$A$2:$A$506,"&lt;&gt;",Bets!$B$2:$B$506,"Trent",Bets!$AB$2:$AB$506,"Parlay/multi-leg")</f>
        <v/>
      </c>
      <c r="P51" s="12">
        <f>IF(N51=0,"",O51/N51)</f>
        <v/>
      </c>
    </row>
    <row r="52">
      <c r="A52" t="inlineStr">
        <is>
          <t>Steve (@stevewilldoit)</t>
        </is>
      </c>
      <c r="B52" t="inlineStr">
        <is>
          <t>Single</t>
        </is>
      </c>
      <c r="C52">
        <f>COUNTIFS(Bets!$A$2:$A$506,"&lt;&gt;",Bets!$B$2:$B$506,"Steve",Bets!$AB$2:$AB$506,"Single")</f>
        <v/>
      </c>
      <c r="D52">
        <f>COUNTIFS(Bets!$A$2:$A$506,"&lt;&gt;",Bets!$B$2:$B$506,"Steve",Bets!$AB$2:$AB$506,"Single",Bets!$U$2:$U$506,"W")</f>
        <v/>
      </c>
      <c r="E52">
        <f>COUNTIFS(Bets!$A$2:$A$506,"&lt;&gt;",Bets!$B$2:$B$506,"Steve",Bets!$AB$2:$AB$506,"Single",Bets!$U$2:$U$506,"L")</f>
        <v/>
      </c>
      <c r="F52">
        <f>COUNTIFS(Bets!$A$2:$A$506,"&lt;&gt;",Bets!$B$2:$B$506,"Steve",Bets!$AB$2:$AB$506,"Single",Bets!$U$2:$U$506,"Push")</f>
        <v/>
      </c>
      <c r="G52">
        <f>COUNTIFS(Bets!$A$2:$A$506,"&lt;&gt;",Bets!$B$2:$B$506,"Steve",Bets!$AB$2:$AB$506,"Single",Bets!$U$2:$U$506,"Pending")</f>
        <v/>
      </c>
      <c r="H52">
        <f>COUNTIFS(Bets!$A$2:$A$506,"&lt;&gt;",Bets!$B$2:$B$506,"Steve",Bets!$AB$2:$AB$506,"Single",Bets!$U$2:$U$506,"Unknown")</f>
        <v/>
      </c>
      <c r="I52" s="9">
        <f>IF(D52+E52=0,"",D52/(D52+E52))</f>
        <v/>
      </c>
      <c r="J52" s="10">
        <f>SUMIFS(Bets!$Q$2:$Q$506,Bets!$A$2:$A$506,"&lt;&gt;",Bets!$B$2:$B$506,"Steve",Bets!$AB$2:$AB$506,"Single")</f>
        <v/>
      </c>
      <c r="K52" s="10">
        <f>SUMIFS(Bets!$AC$2:$AC$506,Bets!$A$2:$A$506,"&lt;&gt;",Bets!$B$2:$B$506,"Steve",Bets!$AB$2:$AB$506,"Single")</f>
        <v/>
      </c>
      <c r="L52" s="11">
        <f>SUMIFS(Bets!$V$2:$V$506,Bets!$A$2:$A$506,"&lt;&gt;",Bets!$B$2:$B$506,"Steve",Bets!$AB$2:$AB$506,"Single")</f>
        <v/>
      </c>
      <c r="M52" s="12">
        <f>IF(K52=0,"",L52/K52)</f>
        <v/>
      </c>
      <c r="N52" s="13">
        <f>SUMIFS(Bets!$AD$2:$AD$506,Bets!$A$2:$A$506,"&lt;&gt;",Bets!$B$2:$B$506,"Steve",Bets!$AB$2:$AB$506,"Single")</f>
        <v/>
      </c>
      <c r="O52" s="14">
        <f>SUMIFS(Bets!$W$2:$W$506,Bets!$A$2:$A$506,"&lt;&gt;",Bets!$B$2:$B$506,"Steve",Bets!$AB$2:$AB$506,"Single")</f>
        <v/>
      </c>
      <c r="P52" s="12">
        <f>IF(N52=0,"",O52/N52)</f>
        <v/>
      </c>
    </row>
    <row r="53">
      <c r="A53" t="inlineStr">
        <is>
          <t>Steve (@stevewilldoit)</t>
        </is>
      </c>
      <c r="B53" t="inlineStr">
        <is>
          <t>Parlay/multi-leg</t>
        </is>
      </c>
      <c r="C53">
        <f>COUNTIFS(Bets!$A$2:$A$506,"&lt;&gt;",Bets!$B$2:$B$506,"Steve",Bets!$AB$2:$AB$506,"Parlay/multi-leg")</f>
        <v/>
      </c>
      <c r="D53">
        <f>COUNTIFS(Bets!$A$2:$A$506,"&lt;&gt;",Bets!$B$2:$B$506,"Steve",Bets!$AB$2:$AB$506,"Parlay/multi-leg",Bets!$U$2:$U$506,"W")</f>
        <v/>
      </c>
      <c r="E53">
        <f>COUNTIFS(Bets!$A$2:$A$506,"&lt;&gt;",Bets!$B$2:$B$506,"Steve",Bets!$AB$2:$AB$506,"Parlay/multi-leg",Bets!$U$2:$U$506,"L")</f>
        <v/>
      </c>
      <c r="F53">
        <f>COUNTIFS(Bets!$A$2:$A$506,"&lt;&gt;",Bets!$B$2:$B$506,"Steve",Bets!$AB$2:$AB$506,"Parlay/multi-leg",Bets!$U$2:$U$506,"Push")</f>
        <v/>
      </c>
      <c r="G53">
        <f>COUNTIFS(Bets!$A$2:$A$506,"&lt;&gt;",Bets!$B$2:$B$506,"Steve",Bets!$AB$2:$AB$506,"Parlay/multi-leg",Bets!$U$2:$U$506,"Pending")</f>
        <v/>
      </c>
      <c r="H53">
        <f>COUNTIFS(Bets!$A$2:$A$506,"&lt;&gt;",Bets!$B$2:$B$506,"Steve",Bets!$AB$2:$AB$506,"Parlay/multi-leg",Bets!$U$2:$U$506,"Unknown")</f>
        <v/>
      </c>
      <c r="I53" s="9">
        <f>IF(D53+E53=0,"",D53/(D53+E53))</f>
        <v/>
      </c>
      <c r="J53" s="10">
        <f>SUMIFS(Bets!$Q$2:$Q$506,Bets!$A$2:$A$506,"&lt;&gt;",Bets!$B$2:$B$506,"Steve",Bets!$AB$2:$AB$506,"Parlay/multi-leg")</f>
        <v/>
      </c>
      <c r="K53" s="10">
        <f>SUMIFS(Bets!$AC$2:$AC$506,Bets!$A$2:$A$506,"&lt;&gt;",Bets!$B$2:$B$506,"Steve",Bets!$AB$2:$AB$506,"Parlay/multi-leg")</f>
        <v/>
      </c>
      <c r="L53" s="11">
        <f>SUMIFS(Bets!$V$2:$V$506,Bets!$A$2:$A$506,"&lt;&gt;",Bets!$B$2:$B$506,"Steve",Bets!$AB$2:$AB$506,"Parlay/multi-leg")</f>
        <v/>
      </c>
      <c r="M53" s="12">
        <f>IF(K53=0,"",L53/K53)</f>
        <v/>
      </c>
      <c r="N53" s="13">
        <f>SUMIFS(Bets!$AD$2:$AD$506,Bets!$A$2:$A$506,"&lt;&gt;",Bets!$B$2:$B$506,"Steve",Bets!$AB$2:$AB$506,"Parlay/multi-leg")</f>
        <v/>
      </c>
      <c r="O53" s="14">
        <f>SUMIFS(Bets!$W$2:$W$506,Bets!$A$2:$A$506,"&lt;&gt;",Bets!$B$2:$B$506,"Steve",Bets!$AB$2:$AB$506,"Parlay/multi-leg")</f>
        <v/>
      </c>
      <c r="P53" s="12">
        <f>IF(N53=0,"",O53/N53)</f>
        <v/>
      </c>
    </row>
    <row r="54">
      <c r="A54" t="inlineStr">
        <is>
          <t>Combined</t>
        </is>
      </c>
      <c r="B54" t="inlineStr">
        <is>
          <t>Single</t>
        </is>
      </c>
      <c r="C54">
        <f>COUNTIFS(Bets!$A$2:$A$506,"&lt;&gt;",Bets!$B$2:$B$506,"*",Bets!$AB$2:$AB$506,"Single")</f>
        <v/>
      </c>
      <c r="D54">
        <f>COUNTIFS(Bets!$A$2:$A$506,"&lt;&gt;",Bets!$B$2:$B$506,"*",Bets!$AB$2:$AB$506,"Single",Bets!$U$2:$U$506,"W")</f>
        <v/>
      </c>
      <c r="E54">
        <f>COUNTIFS(Bets!$A$2:$A$506,"&lt;&gt;",Bets!$B$2:$B$506,"*",Bets!$AB$2:$AB$506,"Single",Bets!$U$2:$U$506,"L")</f>
        <v/>
      </c>
      <c r="F54">
        <f>COUNTIFS(Bets!$A$2:$A$506,"&lt;&gt;",Bets!$B$2:$B$506,"*",Bets!$AB$2:$AB$506,"Single",Bets!$U$2:$U$506,"Push")</f>
        <v/>
      </c>
      <c r="G54">
        <f>COUNTIFS(Bets!$A$2:$A$506,"&lt;&gt;",Bets!$B$2:$B$506,"*",Bets!$AB$2:$AB$506,"Single",Bets!$U$2:$U$506,"Pending")</f>
        <v/>
      </c>
      <c r="H54">
        <f>COUNTIFS(Bets!$A$2:$A$506,"&lt;&gt;",Bets!$B$2:$B$506,"*",Bets!$AB$2:$AB$506,"Single",Bets!$U$2:$U$506,"Unknown")</f>
        <v/>
      </c>
      <c r="I54" s="9">
        <f>IF(D54+E54=0,"",D54/(D54+E54))</f>
        <v/>
      </c>
      <c r="J54" s="10">
        <f>SUMIFS(Bets!$Q$2:$Q$506,Bets!$A$2:$A$506,"&lt;&gt;",Bets!$B$2:$B$506,"*",Bets!$AB$2:$AB$506,"Single")</f>
        <v/>
      </c>
      <c r="K54" s="10">
        <f>SUMIFS(Bets!$AC$2:$AC$506,Bets!$A$2:$A$506,"&lt;&gt;",Bets!$B$2:$B$506,"*",Bets!$AB$2:$AB$506,"Single")</f>
        <v/>
      </c>
      <c r="L54" s="11">
        <f>SUMIFS(Bets!$V$2:$V$506,Bets!$A$2:$A$506,"&lt;&gt;",Bets!$B$2:$B$506,"*",Bets!$AB$2:$AB$506,"Single")</f>
        <v/>
      </c>
      <c r="M54" s="12">
        <f>IF(K54=0,"",L54/K54)</f>
        <v/>
      </c>
      <c r="N54" s="13">
        <f>SUMIFS(Bets!$AD$2:$AD$506,Bets!$A$2:$A$506,"&lt;&gt;",Bets!$B$2:$B$506,"*",Bets!$AB$2:$AB$506,"Single")</f>
        <v/>
      </c>
      <c r="O54" s="14">
        <f>SUMIFS(Bets!$W$2:$W$506,Bets!$A$2:$A$506,"&lt;&gt;",Bets!$B$2:$B$506,"*",Bets!$AB$2:$AB$506,"Single")</f>
        <v/>
      </c>
      <c r="P54" s="12">
        <f>IF(N54=0,"",O54/N54)</f>
        <v/>
      </c>
    </row>
    <row r="55">
      <c r="A55" t="inlineStr">
        <is>
          <t>Combined</t>
        </is>
      </c>
      <c r="B55" t="inlineStr">
        <is>
          <t>Parlay/multi-leg</t>
        </is>
      </c>
      <c r="C55">
        <f>COUNTIFS(Bets!$A$2:$A$506,"&lt;&gt;",Bets!$B$2:$B$506,"*",Bets!$AB$2:$AB$506,"Parlay/multi-leg")</f>
        <v/>
      </c>
      <c r="D55">
        <f>COUNTIFS(Bets!$A$2:$A$506,"&lt;&gt;",Bets!$B$2:$B$506,"*",Bets!$AB$2:$AB$506,"Parlay/multi-leg",Bets!$U$2:$U$506,"W")</f>
        <v/>
      </c>
      <c r="E55">
        <f>COUNTIFS(Bets!$A$2:$A$506,"&lt;&gt;",Bets!$B$2:$B$506,"*",Bets!$AB$2:$AB$506,"Parlay/multi-leg",Bets!$U$2:$U$506,"L")</f>
        <v/>
      </c>
      <c r="F55">
        <f>COUNTIFS(Bets!$A$2:$A$506,"&lt;&gt;",Bets!$B$2:$B$506,"*",Bets!$AB$2:$AB$506,"Parlay/multi-leg",Bets!$U$2:$U$506,"Push")</f>
        <v/>
      </c>
      <c r="G55">
        <f>COUNTIFS(Bets!$A$2:$A$506,"&lt;&gt;",Bets!$B$2:$B$506,"*",Bets!$AB$2:$AB$506,"Parlay/multi-leg",Bets!$U$2:$U$506,"Pending")</f>
        <v/>
      </c>
      <c r="H55">
        <f>COUNTIFS(Bets!$A$2:$A$506,"&lt;&gt;",Bets!$B$2:$B$506,"*",Bets!$AB$2:$AB$506,"Parlay/multi-leg",Bets!$U$2:$U$506,"Unknown")</f>
        <v/>
      </c>
      <c r="I55" s="9">
        <f>IF(D55+E55=0,"",D55/(D55+E55))</f>
        <v/>
      </c>
      <c r="J55" s="10">
        <f>SUMIFS(Bets!$Q$2:$Q$506,Bets!$A$2:$A$506,"&lt;&gt;",Bets!$B$2:$B$506,"*",Bets!$AB$2:$AB$506,"Parlay/multi-leg")</f>
        <v/>
      </c>
      <c r="K55" s="10">
        <f>SUMIFS(Bets!$AC$2:$AC$506,Bets!$A$2:$A$506,"&lt;&gt;",Bets!$B$2:$B$506,"*",Bets!$AB$2:$AB$506,"Parlay/multi-leg")</f>
        <v/>
      </c>
      <c r="L55" s="11">
        <f>SUMIFS(Bets!$V$2:$V$506,Bets!$A$2:$A$506,"&lt;&gt;",Bets!$B$2:$B$506,"*",Bets!$AB$2:$AB$506,"Parlay/multi-leg")</f>
        <v/>
      </c>
      <c r="M55" s="12">
        <f>IF(K55=0,"",L55/K55)</f>
        <v/>
      </c>
      <c r="N55" s="13">
        <f>SUMIFS(Bets!$AD$2:$AD$506,Bets!$A$2:$A$506,"&lt;&gt;",Bets!$B$2:$B$506,"*",Bets!$AB$2:$AB$506,"Parlay/multi-leg")</f>
        <v/>
      </c>
      <c r="O55" s="14">
        <f>SUMIFS(Bets!$W$2:$W$506,Bets!$A$2:$A$506,"&lt;&gt;",Bets!$B$2:$B$506,"*",Bets!$AB$2:$AB$506,"Parlay/multi-leg")</f>
        <v/>
      </c>
      <c r="P55" s="12">
        <f>IF(N55=0,"",O55/N55)</f>
        <v/>
      </c>
    </row>
    <row r="57">
      <c r="A57" s="7" t="inlineStr">
        <is>
          <t>By # legs</t>
        </is>
      </c>
    </row>
    <row r="58">
      <c r="A58" s="8" t="inlineStr">
        <is>
          <t>Bettor</t>
        </is>
      </c>
      <c r="B58" s="8" t="inlineStr">
        <is>
          <t># legs</t>
        </is>
      </c>
      <c r="C58" s="8" t="inlineStr">
        <is>
          <t>Bets</t>
        </is>
      </c>
      <c r="D58" s="8" t="inlineStr">
        <is>
          <t>W</t>
        </is>
      </c>
      <c r="E58" s="8" t="inlineStr">
        <is>
          <t>L</t>
        </is>
      </c>
      <c r="F58" s="8" t="inlineStr">
        <is>
          <t>Push</t>
        </is>
      </c>
      <c r="G58" s="8" t="inlineStr">
        <is>
          <t>Pending</t>
        </is>
      </c>
      <c r="H58" s="8" t="inlineStr">
        <is>
          <t>Unknown</t>
        </is>
      </c>
      <c r="I58" s="8" t="inlineStr">
        <is>
          <t>Win % (W/(W+L))</t>
        </is>
      </c>
      <c r="J58" s="8" t="inlineStr">
        <is>
          <t>Total staked $ (all $ bets)</t>
        </is>
      </c>
      <c r="K58" s="8" t="inlineStr">
        <is>
          <t>Settled staked $</t>
        </is>
      </c>
      <c r="L58" s="8" t="inlineStr">
        <is>
          <t>Net P/L $</t>
        </is>
      </c>
      <c r="M58" s="8" t="inlineStr">
        <is>
          <t>ROI (net / settled $)</t>
        </is>
      </c>
      <c r="N58" s="8" t="inlineStr">
        <is>
          <t>Units staked (settled)</t>
        </is>
      </c>
      <c r="O58" s="8" t="inlineStr">
        <is>
          <t>Net units</t>
        </is>
      </c>
      <c r="P58" s="8" t="inlineStr">
        <is>
          <t>ROI (units)</t>
        </is>
      </c>
    </row>
    <row r="59">
      <c r="A59" t="inlineStr">
        <is>
          <t>Trent (@BookitWithTrent)</t>
        </is>
      </c>
      <c r="B59" t="inlineStr">
        <is>
          <t>1 (single)</t>
        </is>
      </c>
      <c r="C59">
        <f>COUNTIFS(Bets!$A$2:$A$506,"&lt;&gt;",Bets!$B$2:$B$506,"Trent",Bets!$N$2:$N$506,1)</f>
        <v/>
      </c>
      <c r="D59">
        <f>COUNTIFS(Bets!$A$2:$A$506,"&lt;&gt;",Bets!$B$2:$B$506,"Trent",Bets!$N$2:$N$506,1,Bets!$U$2:$U$506,"W")</f>
        <v/>
      </c>
      <c r="E59">
        <f>COUNTIFS(Bets!$A$2:$A$506,"&lt;&gt;",Bets!$B$2:$B$506,"Trent",Bets!$N$2:$N$506,1,Bets!$U$2:$U$506,"L")</f>
        <v/>
      </c>
      <c r="F59">
        <f>COUNTIFS(Bets!$A$2:$A$506,"&lt;&gt;",Bets!$B$2:$B$506,"Trent",Bets!$N$2:$N$506,1,Bets!$U$2:$U$506,"Push")</f>
        <v/>
      </c>
      <c r="G59">
        <f>COUNTIFS(Bets!$A$2:$A$506,"&lt;&gt;",Bets!$B$2:$B$506,"Trent",Bets!$N$2:$N$506,1,Bets!$U$2:$U$506,"Pending")</f>
        <v/>
      </c>
      <c r="H59">
        <f>COUNTIFS(Bets!$A$2:$A$506,"&lt;&gt;",Bets!$B$2:$B$506,"Trent",Bets!$N$2:$N$506,1,Bets!$U$2:$U$506,"Unknown")</f>
        <v/>
      </c>
      <c r="I59" s="9">
        <f>IF(D59+E59=0,"",D59/(D59+E59))</f>
        <v/>
      </c>
      <c r="J59" s="10">
        <f>SUMIFS(Bets!$Q$2:$Q$506,Bets!$A$2:$A$506,"&lt;&gt;",Bets!$B$2:$B$506,"Trent",Bets!$N$2:$N$506,1)</f>
        <v/>
      </c>
      <c r="K59" s="10">
        <f>SUMIFS(Bets!$AC$2:$AC$506,Bets!$A$2:$A$506,"&lt;&gt;",Bets!$B$2:$B$506,"Trent",Bets!$N$2:$N$506,1)</f>
        <v/>
      </c>
      <c r="L59" s="11">
        <f>SUMIFS(Bets!$V$2:$V$506,Bets!$A$2:$A$506,"&lt;&gt;",Bets!$B$2:$B$506,"Trent",Bets!$N$2:$N$506,1)</f>
        <v/>
      </c>
      <c r="M59" s="12">
        <f>IF(K59=0,"",L59/K59)</f>
        <v/>
      </c>
      <c r="N59" s="13">
        <f>SUMIFS(Bets!$AD$2:$AD$506,Bets!$A$2:$A$506,"&lt;&gt;",Bets!$B$2:$B$506,"Trent",Bets!$N$2:$N$506,1)</f>
        <v/>
      </c>
      <c r="O59" s="14">
        <f>SUMIFS(Bets!$W$2:$W$506,Bets!$A$2:$A$506,"&lt;&gt;",Bets!$B$2:$B$506,"Trent",Bets!$N$2:$N$506,1)</f>
        <v/>
      </c>
      <c r="P59" s="12">
        <f>IF(N59=0,"",O59/N59)</f>
        <v/>
      </c>
    </row>
    <row r="60">
      <c r="A60" t="inlineStr">
        <is>
          <t>Trent (@BookitWithTrent)</t>
        </is>
      </c>
      <c r="B60" t="inlineStr">
        <is>
          <t>2</t>
        </is>
      </c>
      <c r="C60">
        <f>COUNTIFS(Bets!$A$2:$A$506,"&lt;&gt;",Bets!$B$2:$B$506,"Trent",Bets!$N$2:$N$506,2)</f>
        <v/>
      </c>
      <c r="D60">
        <f>COUNTIFS(Bets!$A$2:$A$506,"&lt;&gt;",Bets!$B$2:$B$506,"Trent",Bets!$N$2:$N$506,2,Bets!$U$2:$U$506,"W")</f>
        <v/>
      </c>
      <c r="E60">
        <f>COUNTIFS(Bets!$A$2:$A$506,"&lt;&gt;",Bets!$B$2:$B$506,"Trent",Bets!$N$2:$N$506,2,Bets!$U$2:$U$506,"L")</f>
        <v/>
      </c>
      <c r="F60">
        <f>COUNTIFS(Bets!$A$2:$A$506,"&lt;&gt;",Bets!$B$2:$B$506,"Trent",Bets!$N$2:$N$506,2,Bets!$U$2:$U$506,"Push")</f>
        <v/>
      </c>
      <c r="G60">
        <f>COUNTIFS(Bets!$A$2:$A$506,"&lt;&gt;",Bets!$B$2:$B$506,"Trent",Bets!$N$2:$N$506,2,Bets!$U$2:$U$506,"Pending")</f>
        <v/>
      </c>
      <c r="H60">
        <f>COUNTIFS(Bets!$A$2:$A$506,"&lt;&gt;",Bets!$B$2:$B$506,"Trent",Bets!$N$2:$N$506,2,Bets!$U$2:$U$506,"Unknown")</f>
        <v/>
      </c>
      <c r="I60" s="9">
        <f>IF(D60+E60=0,"",D60/(D60+E60))</f>
        <v/>
      </c>
      <c r="J60" s="10">
        <f>SUMIFS(Bets!$Q$2:$Q$506,Bets!$A$2:$A$506,"&lt;&gt;",Bets!$B$2:$B$506,"Trent",Bets!$N$2:$N$506,2)</f>
        <v/>
      </c>
      <c r="K60" s="10">
        <f>SUMIFS(Bets!$AC$2:$AC$506,Bets!$A$2:$A$506,"&lt;&gt;",Bets!$B$2:$B$506,"Trent",Bets!$N$2:$N$506,2)</f>
        <v/>
      </c>
      <c r="L60" s="11">
        <f>SUMIFS(Bets!$V$2:$V$506,Bets!$A$2:$A$506,"&lt;&gt;",Bets!$B$2:$B$506,"Trent",Bets!$N$2:$N$506,2)</f>
        <v/>
      </c>
      <c r="M60" s="12">
        <f>IF(K60=0,"",L60/K60)</f>
        <v/>
      </c>
      <c r="N60" s="13">
        <f>SUMIFS(Bets!$AD$2:$AD$506,Bets!$A$2:$A$506,"&lt;&gt;",Bets!$B$2:$B$506,"Trent",Bets!$N$2:$N$506,2)</f>
        <v/>
      </c>
      <c r="O60" s="14">
        <f>SUMIFS(Bets!$W$2:$W$506,Bets!$A$2:$A$506,"&lt;&gt;",Bets!$B$2:$B$506,"Trent",Bets!$N$2:$N$506,2)</f>
        <v/>
      </c>
      <c r="P60" s="12">
        <f>IF(N60=0,"",O60/N60)</f>
        <v/>
      </c>
    </row>
    <row r="61">
      <c r="A61" t="inlineStr">
        <is>
          <t>Trent (@BookitWithTrent)</t>
        </is>
      </c>
      <c r="B61" t="inlineStr">
        <is>
          <t>3</t>
        </is>
      </c>
      <c r="C61">
        <f>COUNTIFS(Bets!$A$2:$A$506,"&lt;&gt;",Bets!$B$2:$B$506,"Trent",Bets!$N$2:$N$506,3)</f>
        <v/>
      </c>
      <c r="D61">
        <f>COUNTIFS(Bets!$A$2:$A$506,"&lt;&gt;",Bets!$B$2:$B$506,"Trent",Bets!$N$2:$N$506,3,Bets!$U$2:$U$506,"W")</f>
        <v/>
      </c>
      <c r="E61">
        <f>COUNTIFS(Bets!$A$2:$A$506,"&lt;&gt;",Bets!$B$2:$B$506,"Trent",Bets!$N$2:$N$506,3,Bets!$U$2:$U$506,"L")</f>
        <v/>
      </c>
      <c r="F61">
        <f>COUNTIFS(Bets!$A$2:$A$506,"&lt;&gt;",Bets!$B$2:$B$506,"Trent",Bets!$N$2:$N$506,3,Bets!$U$2:$U$506,"Push")</f>
        <v/>
      </c>
      <c r="G61">
        <f>COUNTIFS(Bets!$A$2:$A$506,"&lt;&gt;",Bets!$B$2:$B$506,"Trent",Bets!$N$2:$N$506,3,Bets!$U$2:$U$506,"Pending")</f>
        <v/>
      </c>
      <c r="H61">
        <f>COUNTIFS(Bets!$A$2:$A$506,"&lt;&gt;",Bets!$B$2:$B$506,"Trent",Bets!$N$2:$N$506,3,Bets!$U$2:$U$506,"Unknown")</f>
        <v/>
      </c>
      <c r="I61" s="9">
        <f>IF(D61+E61=0,"",D61/(D61+E61))</f>
        <v/>
      </c>
      <c r="J61" s="10">
        <f>SUMIFS(Bets!$Q$2:$Q$506,Bets!$A$2:$A$506,"&lt;&gt;",Bets!$B$2:$B$506,"Trent",Bets!$N$2:$N$506,3)</f>
        <v/>
      </c>
      <c r="K61" s="10">
        <f>SUMIFS(Bets!$AC$2:$AC$506,Bets!$A$2:$A$506,"&lt;&gt;",Bets!$B$2:$B$506,"Trent",Bets!$N$2:$N$506,3)</f>
        <v/>
      </c>
      <c r="L61" s="11">
        <f>SUMIFS(Bets!$V$2:$V$506,Bets!$A$2:$A$506,"&lt;&gt;",Bets!$B$2:$B$506,"Trent",Bets!$N$2:$N$506,3)</f>
        <v/>
      </c>
      <c r="M61" s="12">
        <f>IF(K61=0,"",L61/K61)</f>
        <v/>
      </c>
      <c r="N61" s="13">
        <f>SUMIFS(Bets!$AD$2:$AD$506,Bets!$A$2:$A$506,"&lt;&gt;",Bets!$B$2:$B$506,"Trent",Bets!$N$2:$N$506,3)</f>
        <v/>
      </c>
      <c r="O61" s="14">
        <f>SUMIFS(Bets!$W$2:$W$506,Bets!$A$2:$A$506,"&lt;&gt;",Bets!$B$2:$B$506,"Trent",Bets!$N$2:$N$506,3)</f>
        <v/>
      </c>
      <c r="P61" s="12">
        <f>IF(N61=0,"",O61/N61)</f>
        <v/>
      </c>
    </row>
    <row r="62">
      <c r="A62" t="inlineStr">
        <is>
          <t>Trent (@BookitWithTrent)</t>
        </is>
      </c>
      <c r="B62" t="inlineStr">
        <is>
          <t>4</t>
        </is>
      </c>
      <c r="C62">
        <f>COUNTIFS(Bets!$A$2:$A$506,"&lt;&gt;",Bets!$B$2:$B$506,"Trent",Bets!$N$2:$N$506,4)</f>
        <v/>
      </c>
      <c r="D62">
        <f>COUNTIFS(Bets!$A$2:$A$506,"&lt;&gt;",Bets!$B$2:$B$506,"Trent",Bets!$N$2:$N$506,4,Bets!$U$2:$U$506,"W")</f>
        <v/>
      </c>
      <c r="E62">
        <f>COUNTIFS(Bets!$A$2:$A$506,"&lt;&gt;",Bets!$B$2:$B$506,"Trent",Bets!$N$2:$N$506,4,Bets!$U$2:$U$506,"L")</f>
        <v/>
      </c>
      <c r="F62">
        <f>COUNTIFS(Bets!$A$2:$A$506,"&lt;&gt;",Bets!$B$2:$B$506,"Trent",Bets!$N$2:$N$506,4,Bets!$U$2:$U$506,"Push")</f>
        <v/>
      </c>
      <c r="G62">
        <f>COUNTIFS(Bets!$A$2:$A$506,"&lt;&gt;",Bets!$B$2:$B$506,"Trent",Bets!$N$2:$N$506,4,Bets!$U$2:$U$506,"Pending")</f>
        <v/>
      </c>
      <c r="H62">
        <f>COUNTIFS(Bets!$A$2:$A$506,"&lt;&gt;",Bets!$B$2:$B$506,"Trent",Bets!$N$2:$N$506,4,Bets!$U$2:$U$506,"Unknown")</f>
        <v/>
      </c>
      <c r="I62" s="9">
        <f>IF(D62+E62=0,"",D62/(D62+E62))</f>
        <v/>
      </c>
      <c r="J62" s="10">
        <f>SUMIFS(Bets!$Q$2:$Q$506,Bets!$A$2:$A$506,"&lt;&gt;",Bets!$B$2:$B$506,"Trent",Bets!$N$2:$N$506,4)</f>
        <v/>
      </c>
      <c r="K62" s="10">
        <f>SUMIFS(Bets!$AC$2:$AC$506,Bets!$A$2:$A$506,"&lt;&gt;",Bets!$B$2:$B$506,"Trent",Bets!$N$2:$N$506,4)</f>
        <v/>
      </c>
      <c r="L62" s="11">
        <f>SUMIFS(Bets!$V$2:$V$506,Bets!$A$2:$A$506,"&lt;&gt;",Bets!$B$2:$B$506,"Trent",Bets!$N$2:$N$506,4)</f>
        <v/>
      </c>
      <c r="M62" s="12">
        <f>IF(K62=0,"",L62/K62)</f>
        <v/>
      </c>
      <c r="N62" s="13">
        <f>SUMIFS(Bets!$AD$2:$AD$506,Bets!$A$2:$A$506,"&lt;&gt;",Bets!$B$2:$B$506,"Trent",Bets!$N$2:$N$506,4)</f>
        <v/>
      </c>
      <c r="O62" s="14">
        <f>SUMIFS(Bets!$W$2:$W$506,Bets!$A$2:$A$506,"&lt;&gt;",Bets!$B$2:$B$506,"Trent",Bets!$N$2:$N$506,4)</f>
        <v/>
      </c>
      <c r="P62" s="12">
        <f>IF(N62=0,"",O62/N62)</f>
        <v/>
      </c>
    </row>
    <row r="63">
      <c r="A63" t="inlineStr">
        <is>
          <t>Trent (@BookitWithTrent)</t>
        </is>
      </c>
      <c r="B63" t="inlineStr">
        <is>
          <t>5</t>
        </is>
      </c>
      <c r="C63">
        <f>COUNTIFS(Bets!$A$2:$A$506,"&lt;&gt;",Bets!$B$2:$B$506,"Trent",Bets!$N$2:$N$506,5)</f>
        <v/>
      </c>
      <c r="D63">
        <f>COUNTIFS(Bets!$A$2:$A$506,"&lt;&gt;",Bets!$B$2:$B$506,"Trent",Bets!$N$2:$N$506,5,Bets!$U$2:$U$506,"W")</f>
        <v/>
      </c>
      <c r="E63">
        <f>COUNTIFS(Bets!$A$2:$A$506,"&lt;&gt;",Bets!$B$2:$B$506,"Trent",Bets!$N$2:$N$506,5,Bets!$U$2:$U$506,"L")</f>
        <v/>
      </c>
      <c r="F63">
        <f>COUNTIFS(Bets!$A$2:$A$506,"&lt;&gt;",Bets!$B$2:$B$506,"Trent",Bets!$N$2:$N$506,5,Bets!$U$2:$U$506,"Push")</f>
        <v/>
      </c>
      <c r="G63">
        <f>COUNTIFS(Bets!$A$2:$A$506,"&lt;&gt;",Bets!$B$2:$B$506,"Trent",Bets!$N$2:$N$506,5,Bets!$U$2:$U$506,"Pending")</f>
        <v/>
      </c>
      <c r="H63">
        <f>COUNTIFS(Bets!$A$2:$A$506,"&lt;&gt;",Bets!$B$2:$B$506,"Trent",Bets!$N$2:$N$506,5,Bets!$U$2:$U$506,"Unknown")</f>
        <v/>
      </c>
      <c r="I63" s="9">
        <f>IF(D63+E63=0,"",D63/(D63+E63))</f>
        <v/>
      </c>
      <c r="J63" s="10">
        <f>SUMIFS(Bets!$Q$2:$Q$506,Bets!$A$2:$A$506,"&lt;&gt;",Bets!$B$2:$B$506,"Trent",Bets!$N$2:$N$506,5)</f>
        <v/>
      </c>
      <c r="K63" s="10">
        <f>SUMIFS(Bets!$AC$2:$AC$506,Bets!$A$2:$A$506,"&lt;&gt;",Bets!$B$2:$B$506,"Trent",Bets!$N$2:$N$506,5)</f>
        <v/>
      </c>
      <c r="L63" s="11">
        <f>SUMIFS(Bets!$V$2:$V$506,Bets!$A$2:$A$506,"&lt;&gt;",Bets!$B$2:$B$506,"Trent",Bets!$N$2:$N$506,5)</f>
        <v/>
      </c>
      <c r="M63" s="12">
        <f>IF(K63=0,"",L63/K63)</f>
        <v/>
      </c>
      <c r="N63" s="13">
        <f>SUMIFS(Bets!$AD$2:$AD$506,Bets!$A$2:$A$506,"&lt;&gt;",Bets!$B$2:$B$506,"Trent",Bets!$N$2:$N$506,5)</f>
        <v/>
      </c>
      <c r="O63" s="14">
        <f>SUMIFS(Bets!$W$2:$W$506,Bets!$A$2:$A$506,"&lt;&gt;",Bets!$B$2:$B$506,"Trent",Bets!$N$2:$N$506,5)</f>
        <v/>
      </c>
      <c r="P63" s="12">
        <f>IF(N63=0,"",O63/N63)</f>
        <v/>
      </c>
    </row>
    <row r="64">
      <c r="A64" t="inlineStr">
        <is>
          <t>Trent (@BookitWithTrent)</t>
        </is>
      </c>
      <c r="B64" t="inlineStr">
        <is>
          <t>6+</t>
        </is>
      </c>
      <c r="C64">
        <f>COUNTIFS(Bets!$A$2:$A$506,"&lt;&gt;",Bets!$B$2:$B$506,"Trent",Bets!$N$2:$N$506,"&gt;=6")</f>
        <v/>
      </c>
      <c r="D64">
        <f>COUNTIFS(Bets!$A$2:$A$506,"&lt;&gt;",Bets!$B$2:$B$506,"Trent",Bets!$N$2:$N$506,"&gt;=6",Bets!$U$2:$U$506,"W")</f>
        <v/>
      </c>
      <c r="E64">
        <f>COUNTIFS(Bets!$A$2:$A$506,"&lt;&gt;",Bets!$B$2:$B$506,"Trent",Bets!$N$2:$N$506,"&gt;=6",Bets!$U$2:$U$506,"L")</f>
        <v/>
      </c>
      <c r="F64">
        <f>COUNTIFS(Bets!$A$2:$A$506,"&lt;&gt;",Bets!$B$2:$B$506,"Trent",Bets!$N$2:$N$506,"&gt;=6",Bets!$U$2:$U$506,"Push")</f>
        <v/>
      </c>
      <c r="G64">
        <f>COUNTIFS(Bets!$A$2:$A$506,"&lt;&gt;",Bets!$B$2:$B$506,"Trent",Bets!$N$2:$N$506,"&gt;=6",Bets!$U$2:$U$506,"Pending")</f>
        <v/>
      </c>
      <c r="H64">
        <f>COUNTIFS(Bets!$A$2:$A$506,"&lt;&gt;",Bets!$B$2:$B$506,"Trent",Bets!$N$2:$N$506,"&gt;=6",Bets!$U$2:$U$506,"Unknown")</f>
        <v/>
      </c>
      <c r="I64" s="9">
        <f>IF(D64+E64=0,"",D64/(D64+E64))</f>
        <v/>
      </c>
      <c r="J64" s="10">
        <f>SUMIFS(Bets!$Q$2:$Q$506,Bets!$A$2:$A$506,"&lt;&gt;",Bets!$B$2:$B$506,"Trent",Bets!$N$2:$N$506,"&gt;=6")</f>
        <v/>
      </c>
      <c r="K64" s="10">
        <f>SUMIFS(Bets!$AC$2:$AC$506,Bets!$A$2:$A$506,"&lt;&gt;",Bets!$B$2:$B$506,"Trent",Bets!$N$2:$N$506,"&gt;=6")</f>
        <v/>
      </c>
      <c r="L64" s="11">
        <f>SUMIFS(Bets!$V$2:$V$506,Bets!$A$2:$A$506,"&lt;&gt;",Bets!$B$2:$B$506,"Trent",Bets!$N$2:$N$506,"&gt;=6")</f>
        <v/>
      </c>
      <c r="M64" s="12">
        <f>IF(K64=0,"",L64/K64)</f>
        <v/>
      </c>
      <c r="N64" s="13">
        <f>SUMIFS(Bets!$AD$2:$AD$506,Bets!$A$2:$A$506,"&lt;&gt;",Bets!$B$2:$B$506,"Trent",Bets!$N$2:$N$506,"&gt;=6")</f>
        <v/>
      </c>
      <c r="O64" s="14">
        <f>SUMIFS(Bets!$W$2:$W$506,Bets!$A$2:$A$506,"&lt;&gt;",Bets!$B$2:$B$506,"Trent",Bets!$N$2:$N$506,"&gt;=6")</f>
        <v/>
      </c>
      <c r="P64" s="12">
        <f>IF(N64=0,"",O64/N64)</f>
        <v/>
      </c>
    </row>
    <row r="65">
      <c r="A65" t="inlineStr">
        <is>
          <t>Steve (@stevewilldoit)</t>
        </is>
      </c>
      <c r="B65" t="inlineStr">
        <is>
          <t>1 (single)</t>
        </is>
      </c>
      <c r="C65">
        <f>COUNTIFS(Bets!$A$2:$A$506,"&lt;&gt;",Bets!$B$2:$B$506,"Steve",Bets!$N$2:$N$506,1)</f>
        <v/>
      </c>
      <c r="D65">
        <f>COUNTIFS(Bets!$A$2:$A$506,"&lt;&gt;",Bets!$B$2:$B$506,"Steve",Bets!$N$2:$N$506,1,Bets!$U$2:$U$506,"W")</f>
        <v/>
      </c>
      <c r="E65">
        <f>COUNTIFS(Bets!$A$2:$A$506,"&lt;&gt;",Bets!$B$2:$B$506,"Steve",Bets!$N$2:$N$506,1,Bets!$U$2:$U$506,"L")</f>
        <v/>
      </c>
      <c r="F65">
        <f>COUNTIFS(Bets!$A$2:$A$506,"&lt;&gt;",Bets!$B$2:$B$506,"Steve",Bets!$N$2:$N$506,1,Bets!$U$2:$U$506,"Push")</f>
        <v/>
      </c>
      <c r="G65">
        <f>COUNTIFS(Bets!$A$2:$A$506,"&lt;&gt;",Bets!$B$2:$B$506,"Steve",Bets!$N$2:$N$506,1,Bets!$U$2:$U$506,"Pending")</f>
        <v/>
      </c>
      <c r="H65">
        <f>COUNTIFS(Bets!$A$2:$A$506,"&lt;&gt;",Bets!$B$2:$B$506,"Steve",Bets!$N$2:$N$506,1,Bets!$U$2:$U$506,"Unknown")</f>
        <v/>
      </c>
      <c r="I65" s="9">
        <f>IF(D65+E65=0,"",D65/(D65+E65))</f>
        <v/>
      </c>
      <c r="J65" s="10">
        <f>SUMIFS(Bets!$Q$2:$Q$506,Bets!$A$2:$A$506,"&lt;&gt;",Bets!$B$2:$B$506,"Steve",Bets!$N$2:$N$506,1)</f>
        <v/>
      </c>
      <c r="K65" s="10">
        <f>SUMIFS(Bets!$AC$2:$AC$506,Bets!$A$2:$A$506,"&lt;&gt;",Bets!$B$2:$B$506,"Steve",Bets!$N$2:$N$506,1)</f>
        <v/>
      </c>
      <c r="L65" s="11">
        <f>SUMIFS(Bets!$V$2:$V$506,Bets!$A$2:$A$506,"&lt;&gt;",Bets!$B$2:$B$506,"Steve",Bets!$N$2:$N$506,1)</f>
        <v/>
      </c>
      <c r="M65" s="12">
        <f>IF(K65=0,"",L65/K65)</f>
        <v/>
      </c>
      <c r="N65" s="13">
        <f>SUMIFS(Bets!$AD$2:$AD$506,Bets!$A$2:$A$506,"&lt;&gt;",Bets!$B$2:$B$506,"Steve",Bets!$N$2:$N$506,1)</f>
        <v/>
      </c>
      <c r="O65" s="14">
        <f>SUMIFS(Bets!$W$2:$W$506,Bets!$A$2:$A$506,"&lt;&gt;",Bets!$B$2:$B$506,"Steve",Bets!$N$2:$N$506,1)</f>
        <v/>
      </c>
      <c r="P65" s="12">
        <f>IF(N65=0,"",O65/N65)</f>
        <v/>
      </c>
    </row>
    <row r="66">
      <c r="A66" t="inlineStr">
        <is>
          <t>Steve (@stevewilldoit)</t>
        </is>
      </c>
      <c r="B66" t="inlineStr">
        <is>
          <t>2</t>
        </is>
      </c>
      <c r="C66">
        <f>COUNTIFS(Bets!$A$2:$A$506,"&lt;&gt;",Bets!$B$2:$B$506,"Steve",Bets!$N$2:$N$506,2)</f>
        <v/>
      </c>
      <c r="D66">
        <f>COUNTIFS(Bets!$A$2:$A$506,"&lt;&gt;",Bets!$B$2:$B$506,"Steve",Bets!$N$2:$N$506,2,Bets!$U$2:$U$506,"W")</f>
        <v/>
      </c>
      <c r="E66">
        <f>COUNTIFS(Bets!$A$2:$A$506,"&lt;&gt;",Bets!$B$2:$B$506,"Steve",Bets!$N$2:$N$506,2,Bets!$U$2:$U$506,"L")</f>
        <v/>
      </c>
      <c r="F66">
        <f>COUNTIFS(Bets!$A$2:$A$506,"&lt;&gt;",Bets!$B$2:$B$506,"Steve",Bets!$N$2:$N$506,2,Bets!$U$2:$U$506,"Push")</f>
        <v/>
      </c>
      <c r="G66">
        <f>COUNTIFS(Bets!$A$2:$A$506,"&lt;&gt;",Bets!$B$2:$B$506,"Steve",Bets!$N$2:$N$506,2,Bets!$U$2:$U$506,"Pending")</f>
        <v/>
      </c>
      <c r="H66">
        <f>COUNTIFS(Bets!$A$2:$A$506,"&lt;&gt;",Bets!$B$2:$B$506,"Steve",Bets!$N$2:$N$506,2,Bets!$U$2:$U$506,"Unknown")</f>
        <v/>
      </c>
      <c r="I66" s="9">
        <f>IF(D66+E66=0,"",D66/(D66+E66))</f>
        <v/>
      </c>
      <c r="J66" s="10">
        <f>SUMIFS(Bets!$Q$2:$Q$506,Bets!$A$2:$A$506,"&lt;&gt;",Bets!$B$2:$B$506,"Steve",Bets!$N$2:$N$506,2)</f>
        <v/>
      </c>
      <c r="K66" s="10">
        <f>SUMIFS(Bets!$AC$2:$AC$506,Bets!$A$2:$A$506,"&lt;&gt;",Bets!$B$2:$B$506,"Steve",Bets!$N$2:$N$506,2)</f>
        <v/>
      </c>
      <c r="L66" s="11">
        <f>SUMIFS(Bets!$V$2:$V$506,Bets!$A$2:$A$506,"&lt;&gt;",Bets!$B$2:$B$506,"Steve",Bets!$N$2:$N$506,2)</f>
        <v/>
      </c>
      <c r="M66" s="12">
        <f>IF(K66=0,"",L66/K66)</f>
        <v/>
      </c>
      <c r="N66" s="13">
        <f>SUMIFS(Bets!$AD$2:$AD$506,Bets!$A$2:$A$506,"&lt;&gt;",Bets!$B$2:$B$506,"Steve",Bets!$N$2:$N$506,2)</f>
        <v/>
      </c>
      <c r="O66" s="14">
        <f>SUMIFS(Bets!$W$2:$W$506,Bets!$A$2:$A$506,"&lt;&gt;",Bets!$B$2:$B$506,"Steve",Bets!$N$2:$N$506,2)</f>
        <v/>
      </c>
      <c r="P66" s="12">
        <f>IF(N66=0,"",O66/N66)</f>
        <v/>
      </c>
    </row>
    <row r="67">
      <c r="A67" t="inlineStr">
        <is>
          <t>Steve (@stevewilldoit)</t>
        </is>
      </c>
      <c r="B67" t="inlineStr">
        <is>
          <t>3</t>
        </is>
      </c>
      <c r="C67">
        <f>COUNTIFS(Bets!$A$2:$A$506,"&lt;&gt;",Bets!$B$2:$B$506,"Steve",Bets!$N$2:$N$506,3)</f>
        <v/>
      </c>
      <c r="D67">
        <f>COUNTIFS(Bets!$A$2:$A$506,"&lt;&gt;",Bets!$B$2:$B$506,"Steve",Bets!$N$2:$N$506,3,Bets!$U$2:$U$506,"W")</f>
        <v/>
      </c>
      <c r="E67">
        <f>COUNTIFS(Bets!$A$2:$A$506,"&lt;&gt;",Bets!$B$2:$B$506,"Steve",Bets!$N$2:$N$506,3,Bets!$U$2:$U$506,"L")</f>
        <v/>
      </c>
      <c r="F67">
        <f>COUNTIFS(Bets!$A$2:$A$506,"&lt;&gt;",Bets!$B$2:$B$506,"Steve",Bets!$N$2:$N$506,3,Bets!$U$2:$U$506,"Push")</f>
        <v/>
      </c>
      <c r="G67">
        <f>COUNTIFS(Bets!$A$2:$A$506,"&lt;&gt;",Bets!$B$2:$B$506,"Steve",Bets!$N$2:$N$506,3,Bets!$U$2:$U$506,"Pending")</f>
        <v/>
      </c>
      <c r="H67">
        <f>COUNTIFS(Bets!$A$2:$A$506,"&lt;&gt;",Bets!$B$2:$B$506,"Steve",Bets!$N$2:$N$506,3,Bets!$U$2:$U$506,"Unknown")</f>
        <v/>
      </c>
      <c r="I67" s="9">
        <f>IF(D67+E67=0,"",D67/(D67+E67))</f>
        <v/>
      </c>
      <c r="J67" s="10">
        <f>SUMIFS(Bets!$Q$2:$Q$506,Bets!$A$2:$A$506,"&lt;&gt;",Bets!$B$2:$B$506,"Steve",Bets!$N$2:$N$506,3)</f>
        <v/>
      </c>
      <c r="K67" s="10">
        <f>SUMIFS(Bets!$AC$2:$AC$506,Bets!$A$2:$A$506,"&lt;&gt;",Bets!$B$2:$B$506,"Steve",Bets!$N$2:$N$506,3)</f>
        <v/>
      </c>
      <c r="L67" s="11">
        <f>SUMIFS(Bets!$V$2:$V$506,Bets!$A$2:$A$506,"&lt;&gt;",Bets!$B$2:$B$506,"Steve",Bets!$N$2:$N$506,3)</f>
        <v/>
      </c>
      <c r="M67" s="12">
        <f>IF(K67=0,"",L67/K67)</f>
        <v/>
      </c>
      <c r="N67" s="13">
        <f>SUMIFS(Bets!$AD$2:$AD$506,Bets!$A$2:$A$506,"&lt;&gt;",Bets!$B$2:$B$506,"Steve",Bets!$N$2:$N$506,3)</f>
        <v/>
      </c>
      <c r="O67" s="14">
        <f>SUMIFS(Bets!$W$2:$W$506,Bets!$A$2:$A$506,"&lt;&gt;",Bets!$B$2:$B$506,"Steve",Bets!$N$2:$N$506,3)</f>
        <v/>
      </c>
      <c r="P67" s="12">
        <f>IF(N67=0,"",O67/N67)</f>
        <v/>
      </c>
    </row>
    <row r="68">
      <c r="A68" t="inlineStr">
        <is>
          <t>Steve (@stevewilldoit)</t>
        </is>
      </c>
      <c r="B68" t="inlineStr">
        <is>
          <t>4</t>
        </is>
      </c>
      <c r="C68">
        <f>COUNTIFS(Bets!$A$2:$A$506,"&lt;&gt;",Bets!$B$2:$B$506,"Steve",Bets!$N$2:$N$506,4)</f>
        <v/>
      </c>
      <c r="D68">
        <f>COUNTIFS(Bets!$A$2:$A$506,"&lt;&gt;",Bets!$B$2:$B$506,"Steve",Bets!$N$2:$N$506,4,Bets!$U$2:$U$506,"W")</f>
        <v/>
      </c>
      <c r="E68">
        <f>COUNTIFS(Bets!$A$2:$A$506,"&lt;&gt;",Bets!$B$2:$B$506,"Steve",Bets!$N$2:$N$506,4,Bets!$U$2:$U$506,"L")</f>
        <v/>
      </c>
      <c r="F68">
        <f>COUNTIFS(Bets!$A$2:$A$506,"&lt;&gt;",Bets!$B$2:$B$506,"Steve",Bets!$N$2:$N$506,4,Bets!$U$2:$U$506,"Push")</f>
        <v/>
      </c>
      <c r="G68">
        <f>COUNTIFS(Bets!$A$2:$A$506,"&lt;&gt;",Bets!$B$2:$B$506,"Steve",Bets!$N$2:$N$506,4,Bets!$U$2:$U$506,"Pending")</f>
        <v/>
      </c>
      <c r="H68">
        <f>COUNTIFS(Bets!$A$2:$A$506,"&lt;&gt;",Bets!$B$2:$B$506,"Steve",Bets!$N$2:$N$506,4,Bets!$U$2:$U$506,"Unknown")</f>
        <v/>
      </c>
      <c r="I68" s="9">
        <f>IF(D68+E68=0,"",D68/(D68+E68))</f>
        <v/>
      </c>
      <c r="J68" s="10">
        <f>SUMIFS(Bets!$Q$2:$Q$506,Bets!$A$2:$A$506,"&lt;&gt;",Bets!$B$2:$B$506,"Steve",Bets!$N$2:$N$506,4)</f>
        <v/>
      </c>
      <c r="K68" s="10">
        <f>SUMIFS(Bets!$AC$2:$AC$506,Bets!$A$2:$A$506,"&lt;&gt;",Bets!$B$2:$B$506,"Steve",Bets!$N$2:$N$506,4)</f>
        <v/>
      </c>
      <c r="L68" s="11">
        <f>SUMIFS(Bets!$V$2:$V$506,Bets!$A$2:$A$506,"&lt;&gt;",Bets!$B$2:$B$506,"Steve",Bets!$N$2:$N$506,4)</f>
        <v/>
      </c>
      <c r="M68" s="12">
        <f>IF(K68=0,"",L68/K68)</f>
        <v/>
      </c>
      <c r="N68" s="13">
        <f>SUMIFS(Bets!$AD$2:$AD$506,Bets!$A$2:$A$506,"&lt;&gt;",Bets!$B$2:$B$506,"Steve",Bets!$N$2:$N$506,4)</f>
        <v/>
      </c>
      <c r="O68" s="14">
        <f>SUMIFS(Bets!$W$2:$W$506,Bets!$A$2:$A$506,"&lt;&gt;",Bets!$B$2:$B$506,"Steve",Bets!$N$2:$N$506,4)</f>
        <v/>
      </c>
      <c r="P68" s="12">
        <f>IF(N68=0,"",O68/N68)</f>
        <v/>
      </c>
    </row>
    <row r="69">
      <c r="A69" t="inlineStr">
        <is>
          <t>Steve (@stevewilldoit)</t>
        </is>
      </c>
      <c r="B69" t="inlineStr">
        <is>
          <t>5</t>
        </is>
      </c>
      <c r="C69">
        <f>COUNTIFS(Bets!$A$2:$A$506,"&lt;&gt;",Bets!$B$2:$B$506,"Steve",Bets!$N$2:$N$506,5)</f>
        <v/>
      </c>
      <c r="D69">
        <f>COUNTIFS(Bets!$A$2:$A$506,"&lt;&gt;",Bets!$B$2:$B$506,"Steve",Bets!$N$2:$N$506,5,Bets!$U$2:$U$506,"W")</f>
        <v/>
      </c>
      <c r="E69">
        <f>COUNTIFS(Bets!$A$2:$A$506,"&lt;&gt;",Bets!$B$2:$B$506,"Steve",Bets!$N$2:$N$506,5,Bets!$U$2:$U$506,"L")</f>
        <v/>
      </c>
      <c r="F69">
        <f>COUNTIFS(Bets!$A$2:$A$506,"&lt;&gt;",Bets!$B$2:$B$506,"Steve",Bets!$N$2:$N$506,5,Bets!$U$2:$U$506,"Push")</f>
        <v/>
      </c>
      <c r="G69">
        <f>COUNTIFS(Bets!$A$2:$A$506,"&lt;&gt;",Bets!$B$2:$B$506,"Steve",Bets!$N$2:$N$506,5,Bets!$U$2:$U$506,"Pending")</f>
        <v/>
      </c>
      <c r="H69">
        <f>COUNTIFS(Bets!$A$2:$A$506,"&lt;&gt;",Bets!$B$2:$B$506,"Steve",Bets!$N$2:$N$506,5,Bets!$U$2:$U$506,"Unknown")</f>
        <v/>
      </c>
      <c r="I69" s="9">
        <f>IF(D69+E69=0,"",D69/(D69+E69))</f>
        <v/>
      </c>
      <c r="J69" s="10">
        <f>SUMIFS(Bets!$Q$2:$Q$506,Bets!$A$2:$A$506,"&lt;&gt;",Bets!$B$2:$B$506,"Steve",Bets!$N$2:$N$506,5)</f>
        <v/>
      </c>
      <c r="K69" s="10">
        <f>SUMIFS(Bets!$AC$2:$AC$506,Bets!$A$2:$A$506,"&lt;&gt;",Bets!$B$2:$B$506,"Steve",Bets!$N$2:$N$506,5)</f>
        <v/>
      </c>
      <c r="L69" s="11">
        <f>SUMIFS(Bets!$V$2:$V$506,Bets!$A$2:$A$506,"&lt;&gt;",Bets!$B$2:$B$506,"Steve",Bets!$N$2:$N$506,5)</f>
        <v/>
      </c>
      <c r="M69" s="12">
        <f>IF(K69=0,"",L69/K69)</f>
        <v/>
      </c>
      <c r="N69" s="13">
        <f>SUMIFS(Bets!$AD$2:$AD$506,Bets!$A$2:$A$506,"&lt;&gt;",Bets!$B$2:$B$506,"Steve",Bets!$N$2:$N$506,5)</f>
        <v/>
      </c>
      <c r="O69" s="14">
        <f>SUMIFS(Bets!$W$2:$W$506,Bets!$A$2:$A$506,"&lt;&gt;",Bets!$B$2:$B$506,"Steve",Bets!$N$2:$N$506,5)</f>
        <v/>
      </c>
      <c r="P69" s="12">
        <f>IF(N69=0,"",O69/N69)</f>
        <v/>
      </c>
    </row>
    <row r="70">
      <c r="A70" t="inlineStr">
        <is>
          <t>Steve (@stevewilldoit)</t>
        </is>
      </c>
      <c r="B70" t="inlineStr">
        <is>
          <t>6+</t>
        </is>
      </c>
      <c r="C70">
        <f>COUNTIFS(Bets!$A$2:$A$506,"&lt;&gt;",Bets!$B$2:$B$506,"Steve",Bets!$N$2:$N$506,"&gt;=6")</f>
        <v/>
      </c>
      <c r="D70">
        <f>COUNTIFS(Bets!$A$2:$A$506,"&lt;&gt;",Bets!$B$2:$B$506,"Steve",Bets!$N$2:$N$506,"&gt;=6",Bets!$U$2:$U$506,"W")</f>
        <v/>
      </c>
      <c r="E70">
        <f>COUNTIFS(Bets!$A$2:$A$506,"&lt;&gt;",Bets!$B$2:$B$506,"Steve",Bets!$N$2:$N$506,"&gt;=6",Bets!$U$2:$U$506,"L")</f>
        <v/>
      </c>
      <c r="F70">
        <f>COUNTIFS(Bets!$A$2:$A$506,"&lt;&gt;",Bets!$B$2:$B$506,"Steve",Bets!$N$2:$N$506,"&gt;=6",Bets!$U$2:$U$506,"Push")</f>
        <v/>
      </c>
      <c r="G70">
        <f>COUNTIFS(Bets!$A$2:$A$506,"&lt;&gt;",Bets!$B$2:$B$506,"Steve",Bets!$N$2:$N$506,"&gt;=6",Bets!$U$2:$U$506,"Pending")</f>
        <v/>
      </c>
      <c r="H70">
        <f>COUNTIFS(Bets!$A$2:$A$506,"&lt;&gt;",Bets!$B$2:$B$506,"Steve",Bets!$N$2:$N$506,"&gt;=6",Bets!$U$2:$U$506,"Unknown")</f>
        <v/>
      </c>
      <c r="I70" s="9">
        <f>IF(D70+E70=0,"",D70/(D70+E70))</f>
        <v/>
      </c>
      <c r="J70" s="10">
        <f>SUMIFS(Bets!$Q$2:$Q$506,Bets!$A$2:$A$506,"&lt;&gt;",Bets!$B$2:$B$506,"Steve",Bets!$N$2:$N$506,"&gt;=6")</f>
        <v/>
      </c>
      <c r="K70" s="10">
        <f>SUMIFS(Bets!$AC$2:$AC$506,Bets!$A$2:$A$506,"&lt;&gt;",Bets!$B$2:$B$506,"Steve",Bets!$N$2:$N$506,"&gt;=6")</f>
        <v/>
      </c>
      <c r="L70" s="11">
        <f>SUMIFS(Bets!$V$2:$V$506,Bets!$A$2:$A$506,"&lt;&gt;",Bets!$B$2:$B$506,"Steve",Bets!$N$2:$N$506,"&gt;=6")</f>
        <v/>
      </c>
      <c r="M70" s="12">
        <f>IF(K70=0,"",L70/K70)</f>
        <v/>
      </c>
      <c r="N70" s="13">
        <f>SUMIFS(Bets!$AD$2:$AD$506,Bets!$A$2:$A$506,"&lt;&gt;",Bets!$B$2:$B$506,"Steve",Bets!$N$2:$N$506,"&gt;=6")</f>
        <v/>
      </c>
      <c r="O70" s="14">
        <f>SUMIFS(Bets!$W$2:$W$506,Bets!$A$2:$A$506,"&lt;&gt;",Bets!$B$2:$B$506,"Steve",Bets!$N$2:$N$506,"&gt;=6")</f>
        <v/>
      </c>
      <c r="P70" s="12">
        <f>IF(N70=0,"",O70/N70)</f>
        <v/>
      </c>
    </row>
    <row r="71">
      <c r="A71" t="inlineStr">
        <is>
          <t>Combined</t>
        </is>
      </c>
      <c r="B71" t="inlineStr">
        <is>
          <t>1 (single)</t>
        </is>
      </c>
      <c r="C71">
        <f>COUNTIFS(Bets!$A$2:$A$506,"&lt;&gt;",Bets!$B$2:$B$506,"*",Bets!$N$2:$N$506,1)</f>
        <v/>
      </c>
      <c r="D71">
        <f>COUNTIFS(Bets!$A$2:$A$506,"&lt;&gt;",Bets!$B$2:$B$506,"*",Bets!$N$2:$N$506,1,Bets!$U$2:$U$506,"W")</f>
        <v/>
      </c>
      <c r="E71">
        <f>COUNTIFS(Bets!$A$2:$A$506,"&lt;&gt;",Bets!$B$2:$B$506,"*",Bets!$N$2:$N$506,1,Bets!$U$2:$U$506,"L")</f>
        <v/>
      </c>
      <c r="F71">
        <f>COUNTIFS(Bets!$A$2:$A$506,"&lt;&gt;",Bets!$B$2:$B$506,"*",Bets!$N$2:$N$506,1,Bets!$U$2:$U$506,"Push")</f>
        <v/>
      </c>
      <c r="G71">
        <f>COUNTIFS(Bets!$A$2:$A$506,"&lt;&gt;",Bets!$B$2:$B$506,"*",Bets!$N$2:$N$506,1,Bets!$U$2:$U$506,"Pending")</f>
        <v/>
      </c>
      <c r="H71">
        <f>COUNTIFS(Bets!$A$2:$A$506,"&lt;&gt;",Bets!$B$2:$B$506,"*",Bets!$N$2:$N$506,1,Bets!$U$2:$U$506,"Unknown")</f>
        <v/>
      </c>
      <c r="I71" s="9">
        <f>IF(D71+E71=0,"",D71/(D71+E71))</f>
        <v/>
      </c>
      <c r="J71" s="10">
        <f>SUMIFS(Bets!$Q$2:$Q$506,Bets!$A$2:$A$506,"&lt;&gt;",Bets!$B$2:$B$506,"*",Bets!$N$2:$N$506,1)</f>
        <v/>
      </c>
      <c r="K71" s="10">
        <f>SUMIFS(Bets!$AC$2:$AC$506,Bets!$A$2:$A$506,"&lt;&gt;",Bets!$B$2:$B$506,"*",Bets!$N$2:$N$506,1)</f>
        <v/>
      </c>
      <c r="L71" s="11">
        <f>SUMIFS(Bets!$V$2:$V$506,Bets!$A$2:$A$506,"&lt;&gt;",Bets!$B$2:$B$506,"*",Bets!$N$2:$N$506,1)</f>
        <v/>
      </c>
      <c r="M71" s="12">
        <f>IF(K71=0,"",L71/K71)</f>
        <v/>
      </c>
      <c r="N71" s="13">
        <f>SUMIFS(Bets!$AD$2:$AD$506,Bets!$A$2:$A$506,"&lt;&gt;",Bets!$B$2:$B$506,"*",Bets!$N$2:$N$506,1)</f>
        <v/>
      </c>
      <c r="O71" s="14">
        <f>SUMIFS(Bets!$W$2:$W$506,Bets!$A$2:$A$506,"&lt;&gt;",Bets!$B$2:$B$506,"*",Bets!$N$2:$N$506,1)</f>
        <v/>
      </c>
      <c r="P71" s="12">
        <f>IF(N71=0,"",O71/N71)</f>
        <v/>
      </c>
    </row>
    <row r="72">
      <c r="A72" t="inlineStr">
        <is>
          <t>Combined</t>
        </is>
      </c>
      <c r="B72" t="inlineStr">
        <is>
          <t>2</t>
        </is>
      </c>
      <c r="C72">
        <f>COUNTIFS(Bets!$A$2:$A$506,"&lt;&gt;",Bets!$B$2:$B$506,"*",Bets!$N$2:$N$506,2)</f>
        <v/>
      </c>
      <c r="D72">
        <f>COUNTIFS(Bets!$A$2:$A$506,"&lt;&gt;",Bets!$B$2:$B$506,"*",Bets!$N$2:$N$506,2,Bets!$U$2:$U$506,"W")</f>
        <v/>
      </c>
      <c r="E72">
        <f>COUNTIFS(Bets!$A$2:$A$506,"&lt;&gt;",Bets!$B$2:$B$506,"*",Bets!$N$2:$N$506,2,Bets!$U$2:$U$506,"L")</f>
        <v/>
      </c>
      <c r="F72">
        <f>COUNTIFS(Bets!$A$2:$A$506,"&lt;&gt;",Bets!$B$2:$B$506,"*",Bets!$N$2:$N$506,2,Bets!$U$2:$U$506,"Push")</f>
        <v/>
      </c>
      <c r="G72">
        <f>COUNTIFS(Bets!$A$2:$A$506,"&lt;&gt;",Bets!$B$2:$B$506,"*",Bets!$N$2:$N$506,2,Bets!$U$2:$U$506,"Pending")</f>
        <v/>
      </c>
      <c r="H72">
        <f>COUNTIFS(Bets!$A$2:$A$506,"&lt;&gt;",Bets!$B$2:$B$506,"*",Bets!$N$2:$N$506,2,Bets!$U$2:$U$506,"Unknown")</f>
        <v/>
      </c>
      <c r="I72" s="9">
        <f>IF(D72+E72=0,"",D72/(D72+E72))</f>
        <v/>
      </c>
      <c r="J72" s="10">
        <f>SUMIFS(Bets!$Q$2:$Q$506,Bets!$A$2:$A$506,"&lt;&gt;",Bets!$B$2:$B$506,"*",Bets!$N$2:$N$506,2)</f>
        <v/>
      </c>
      <c r="K72" s="10">
        <f>SUMIFS(Bets!$AC$2:$AC$506,Bets!$A$2:$A$506,"&lt;&gt;",Bets!$B$2:$B$506,"*",Bets!$N$2:$N$506,2)</f>
        <v/>
      </c>
      <c r="L72" s="11">
        <f>SUMIFS(Bets!$V$2:$V$506,Bets!$A$2:$A$506,"&lt;&gt;",Bets!$B$2:$B$506,"*",Bets!$N$2:$N$506,2)</f>
        <v/>
      </c>
      <c r="M72" s="12">
        <f>IF(K72=0,"",L72/K72)</f>
        <v/>
      </c>
      <c r="N72" s="13">
        <f>SUMIFS(Bets!$AD$2:$AD$506,Bets!$A$2:$A$506,"&lt;&gt;",Bets!$B$2:$B$506,"*",Bets!$N$2:$N$506,2)</f>
        <v/>
      </c>
      <c r="O72" s="14">
        <f>SUMIFS(Bets!$W$2:$W$506,Bets!$A$2:$A$506,"&lt;&gt;",Bets!$B$2:$B$506,"*",Bets!$N$2:$N$506,2)</f>
        <v/>
      </c>
      <c r="P72" s="12">
        <f>IF(N72=0,"",O72/N72)</f>
        <v/>
      </c>
    </row>
    <row r="73">
      <c r="A73" t="inlineStr">
        <is>
          <t>Combined</t>
        </is>
      </c>
      <c r="B73" t="inlineStr">
        <is>
          <t>3</t>
        </is>
      </c>
      <c r="C73">
        <f>COUNTIFS(Bets!$A$2:$A$506,"&lt;&gt;",Bets!$B$2:$B$506,"*",Bets!$N$2:$N$506,3)</f>
        <v/>
      </c>
      <c r="D73">
        <f>COUNTIFS(Bets!$A$2:$A$506,"&lt;&gt;",Bets!$B$2:$B$506,"*",Bets!$N$2:$N$506,3,Bets!$U$2:$U$506,"W")</f>
        <v/>
      </c>
      <c r="E73">
        <f>COUNTIFS(Bets!$A$2:$A$506,"&lt;&gt;",Bets!$B$2:$B$506,"*",Bets!$N$2:$N$506,3,Bets!$U$2:$U$506,"L")</f>
        <v/>
      </c>
      <c r="F73">
        <f>COUNTIFS(Bets!$A$2:$A$506,"&lt;&gt;",Bets!$B$2:$B$506,"*",Bets!$N$2:$N$506,3,Bets!$U$2:$U$506,"Push")</f>
        <v/>
      </c>
      <c r="G73">
        <f>COUNTIFS(Bets!$A$2:$A$506,"&lt;&gt;",Bets!$B$2:$B$506,"*",Bets!$N$2:$N$506,3,Bets!$U$2:$U$506,"Pending")</f>
        <v/>
      </c>
      <c r="H73">
        <f>COUNTIFS(Bets!$A$2:$A$506,"&lt;&gt;",Bets!$B$2:$B$506,"*",Bets!$N$2:$N$506,3,Bets!$U$2:$U$506,"Unknown")</f>
        <v/>
      </c>
      <c r="I73" s="9">
        <f>IF(D73+E73=0,"",D73/(D73+E73))</f>
        <v/>
      </c>
      <c r="J73" s="10">
        <f>SUMIFS(Bets!$Q$2:$Q$506,Bets!$A$2:$A$506,"&lt;&gt;",Bets!$B$2:$B$506,"*",Bets!$N$2:$N$506,3)</f>
        <v/>
      </c>
      <c r="K73" s="10">
        <f>SUMIFS(Bets!$AC$2:$AC$506,Bets!$A$2:$A$506,"&lt;&gt;",Bets!$B$2:$B$506,"*",Bets!$N$2:$N$506,3)</f>
        <v/>
      </c>
      <c r="L73" s="11">
        <f>SUMIFS(Bets!$V$2:$V$506,Bets!$A$2:$A$506,"&lt;&gt;",Bets!$B$2:$B$506,"*",Bets!$N$2:$N$506,3)</f>
        <v/>
      </c>
      <c r="M73" s="12">
        <f>IF(K73=0,"",L73/K73)</f>
        <v/>
      </c>
      <c r="N73" s="13">
        <f>SUMIFS(Bets!$AD$2:$AD$506,Bets!$A$2:$A$506,"&lt;&gt;",Bets!$B$2:$B$506,"*",Bets!$N$2:$N$506,3)</f>
        <v/>
      </c>
      <c r="O73" s="14">
        <f>SUMIFS(Bets!$W$2:$W$506,Bets!$A$2:$A$506,"&lt;&gt;",Bets!$B$2:$B$506,"*",Bets!$N$2:$N$506,3)</f>
        <v/>
      </c>
      <c r="P73" s="12">
        <f>IF(N73=0,"",O73/N73)</f>
        <v/>
      </c>
    </row>
    <row r="74">
      <c r="A74" t="inlineStr">
        <is>
          <t>Combined</t>
        </is>
      </c>
      <c r="B74" t="inlineStr">
        <is>
          <t>4</t>
        </is>
      </c>
      <c r="C74">
        <f>COUNTIFS(Bets!$A$2:$A$506,"&lt;&gt;",Bets!$B$2:$B$506,"*",Bets!$N$2:$N$506,4)</f>
        <v/>
      </c>
      <c r="D74">
        <f>COUNTIFS(Bets!$A$2:$A$506,"&lt;&gt;",Bets!$B$2:$B$506,"*",Bets!$N$2:$N$506,4,Bets!$U$2:$U$506,"W")</f>
        <v/>
      </c>
      <c r="E74">
        <f>COUNTIFS(Bets!$A$2:$A$506,"&lt;&gt;",Bets!$B$2:$B$506,"*",Bets!$N$2:$N$506,4,Bets!$U$2:$U$506,"L")</f>
        <v/>
      </c>
      <c r="F74">
        <f>COUNTIFS(Bets!$A$2:$A$506,"&lt;&gt;",Bets!$B$2:$B$506,"*",Bets!$N$2:$N$506,4,Bets!$U$2:$U$506,"Push")</f>
        <v/>
      </c>
      <c r="G74">
        <f>COUNTIFS(Bets!$A$2:$A$506,"&lt;&gt;",Bets!$B$2:$B$506,"*",Bets!$N$2:$N$506,4,Bets!$U$2:$U$506,"Pending")</f>
        <v/>
      </c>
      <c r="H74">
        <f>COUNTIFS(Bets!$A$2:$A$506,"&lt;&gt;",Bets!$B$2:$B$506,"*",Bets!$N$2:$N$506,4,Bets!$U$2:$U$506,"Unknown")</f>
        <v/>
      </c>
      <c r="I74" s="9">
        <f>IF(D74+E74=0,"",D74/(D74+E74))</f>
        <v/>
      </c>
      <c r="J74" s="10">
        <f>SUMIFS(Bets!$Q$2:$Q$506,Bets!$A$2:$A$506,"&lt;&gt;",Bets!$B$2:$B$506,"*",Bets!$N$2:$N$506,4)</f>
        <v/>
      </c>
      <c r="K74" s="10">
        <f>SUMIFS(Bets!$AC$2:$AC$506,Bets!$A$2:$A$506,"&lt;&gt;",Bets!$B$2:$B$506,"*",Bets!$N$2:$N$506,4)</f>
        <v/>
      </c>
      <c r="L74" s="11">
        <f>SUMIFS(Bets!$V$2:$V$506,Bets!$A$2:$A$506,"&lt;&gt;",Bets!$B$2:$B$506,"*",Bets!$N$2:$N$506,4)</f>
        <v/>
      </c>
      <c r="M74" s="12">
        <f>IF(K74=0,"",L74/K74)</f>
        <v/>
      </c>
      <c r="N74" s="13">
        <f>SUMIFS(Bets!$AD$2:$AD$506,Bets!$A$2:$A$506,"&lt;&gt;",Bets!$B$2:$B$506,"*",Bets!$N$2:$N$506,4)</f>
        <v/>
      </c>
      <c r="O74" s="14">
        <f>SUMIFS(Bets!$W$2:$W$506,Bets!$A$2:$A$506,"&lt;&gt;",Bets!$B$2:$B$506,"*",Bets!$N$2:$N$506,4)</f>
        <v/>
      </c>
      <c r="P74" s="12">
        <f>IF(N74=0,"",O74/N74)</f>
        <v/>
      </c>
    </row>
    <row r="75">
      <c r="A75" t="inlineStr">
        <is>
          <t>Combined</t>
        </is>
      </c>
      <c r="B75" t="inlineStr">
        <is>
          <t>5</t>
        </is>
      </c>
      <c r="C75">
        <f>COUNTIFS(Bets!$A$2:$A$506,"&lt;&gt;",Bets!$B$2:$B$506,"*",Bets!$N$2:$N$506,5)</f>
        <v/>
      </c>
      <c r="D75">
        <f>COUNTIFS(Bets!$A$2:$A$506,"&lt;&gt;",Bets!$B$2:$B$506,"*",Bets!$N$2:$N$506,5,Bets!$U$2:$U$506,"W")</f>
        <v/>
      </c>
      <c r="E75">
        <f>COUNTIFS(Bets!$A$2:$A$506,"&lt;&gt;",Bets!$B$2:$B$506,"*",Bets!$N$2:$N$506,5,Bets!$U$2:$U$506,"L")</f>
        <v/>
      </c>
      <c r="F75">
        <f>COUNTIFS(Bets!$A$2:$A$506,"&lt;&gt;",Bets!$B$2:$B$506,"*",Bets!$N$2:$N$506,5,Bets!$U$2:$U$506,"Push")</f>
        <v/>
      </c>
      <c r="G75">
        <f>COUNTIFS(Bets!$A$2:$A$506,"&lt;&gt;",Bets!$B$2:$B$506,"*",Bets!$N$2:$N$506,5,Bets!$U$2:$U$506,"Pending")</f>
        <v/>
      </c>
      <c r="H75">
        <f>COUNTIFS(Bets!$A$2:$A$506,"&lt;&gt;",Bets!$B$2:$B$506,"*",Bets!$N$2:$N$506,5,Bets!$U$2:$U$506,"Unknown")</f>
        <v/>
      </c>
      <c r="I75" s="9">
        <f>IF(D75+E75=0,"",D75/(D75+E75))</f>
        <v/>
      </c>
      <c r="J75" s="10">
        <f>SUMIFS(Bets!$Q$2:$Q$506,Bets!$A$2:$A$506,"&lt;&gt;",Bets!$B$2:$B$506,"*",Bets!$N$2:$N$506,5)</f>
        <v/>
      </c>
      <c r="K75" s="10">
        <f>SUMIFS(Bets!$AC$2:$AC$506,Bets!$A$2:$A$506,"&lt;&gt;",Bets!$B$2:$B$506,"*",Bets!$N$2:$N$506,5)</f>
        <v/>
      </c>
      <c r="L75" s="11">
        <f>SUMIFS(Bets!$V$2:$V$506,Bets!$A$2:$A$506,"&lt;&gt;",Bets!$B$2:$B$506,"*",Bets!$N$2:$N$506,5)</f>
        <v/>
      </c>
      <c r="M75" s="12">
        <f>IF(K75=0,"",L75/K75)</f>
        <v/>
      </c>
      <c r="N75" s="13">
        <f>SUMIFS(Bets!$AD$2:$AD$506,Bets!$A$2:$A$506,"&lt;&gt;",Bets!$B$2:$B$506,"*",Bets!$N$2:$N$506,5)</f>
        <v/>
      </c>
      <c r="O75" s="14">
        <f>SUMIFS(Bets!$W$2:$W$506,Bets!$A$2:$A$506,"&lt;&gt;",Bets!$B$2:$B$506,"*",Bets!$N$2:$N$506,5)</f>
        <v/>
      </c>
      <c r="P75" s="12">
        <f>IF(N75=0,"",O75/N75)</f>
        <v/>
      </c>
    </row>
    <row r="76">
      <c r="A76" t="inlineStr">
        <is>
          <t>Combined</t>
        </is>
      </c>
      <c r="B76" t="inlineStr">
        <is>
          <t>6+</t>
        </is>
      </c>
      <c r="C76">
        <f>COUNTIFS(Bets!$A$2:$A$506,"&lt;&gt;",Bets!$B$2:$B$506,"*",Bets!$N$2:$N$506,"&gt;=6")</f>
        <v/>
      </c>
      <c r="D76">
        <f>COUNTIFS(Bets!$A$2:$A$506,"&lt;&gt;",Bets!$B$2:$B$506,"*",Bets!$N$2:$N$506,"&gt;=6",Bets!$U$2:$U$506,"W")</f>
        <v/>
      </c>
      <c r="E76">
        <f>COUNTIFS(Bets!$A$2:$A$506,"&lt;&gt;",Bets!$B$2:$B$506,"*",Bets!$N$2:$N$506,"&gt;=6",Bets!$U$2:$U$506,"L")</f>
        <v/>
      </c>
      <c r="F76">
        <f>COUNTIFS(Bets!$A$2:$A$506,"&lt;&gt;",Bets!$B$2:$B$506,"*",Bets!$N$2:$N$506,"&gt;=6",Bets!$U$2:$U$506,"Push")</f>
        <v/>
      </c>
      <c r="G76">
        <f>COUNTIFS(Bets!$A$2:$A$506,"&lt;&gt;",Bets!$B$2:$B$506,"*",Bets!$N$2:$N$506,"&gt;=6",Bets!$U$2:$U$506,"Pending")</f>
        <v/>
      </c>
      <c r="H76">
        <f>COUNTIFS(Bets!$A$2:$A$506,"&lt;&gt;",Bets!$B$2:$B$506,"*",Bets!$N$2:$N$506,"&gt;=6",Bets!$U$2:$U$506,"Unknown")</f>
        <v/>
      </c>
      <c r="I76" s="9">
        <f>IF(D76+E76=0,"",D76/(D76+E76))</f>
        <v/>
      </c>
      <c r="J76" s="10">
        <f>SUMIFS(Bets!$Q$2:$Q$506,Bets!$A$2:$A$506,"&lt;&gt;",Bets!$B$2:$B$506,"*",Bets!$N$2:$N$506,"&gt;=6")</f>
        <v/>
      </c>
      <c r="K76" s="10">
        <f>SUMIFS(Bets!$AC$2:$AC$506,Bets!$A$2:$A$506,"&lt;&gt;",Bets!$B$2:$B$506,"*",Bets!$N$2:$N$506,"&gt;=6")</f>
        <v/>
      </c>
      <c r="L76" s="11">
        <f>SUMIFS(Bets!$V$2:$V$506,Bets!$A$2:$A$506,"&lt;&gt;",Bets!$B$2:$B$506,"*",Bets!$N$2:$N$506,"&gt;=6")</f>
        <v/>
      </c>
      <c r="M76" s="12">
        <f>IF(K76=0,"",L76/K76)</f>
        <v/>
      </c>
      <c r="N76" s="13">
        <f>SUMIFS(Bets!$AD$2:$AD$506,Bets!$A$2:$A$506,"&lt;&gt;",Bets!$B$2:$B$506,"*",Bets!$N$2:$N$506,"&gt;=6")</f>
        <v/>
      </c>
      <c r="O76" s="14">
        <f>SUMIFS(Bets!$W$2:$W$506,Bets!$A$2:$A$506,"&lt;&gt;",Bets!$B$2:$B$506,"*",Bets!$N$2:$N$506,"&gt;=6")</f>
        <v/>
      </c>
      <c r="P76" s="12">
        <f>IF(N76=0,"",O76/N76)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5" t="inlineStr">
        <is>
          <t>Trent &amp; Steve Bet Tracker — 2026 Football Season</t>
        </is>
      </c>
      <c r="B1" s="16" t="inlineStr"/>
    </row>
    <row r="2">
      <c r="A2" s="16" t="inlineStr">
        <is>
          <t>Last updated</t>
        </is>
      </c>
      <c r="B2" s="16" t="inlineStr">
        <is>
          <t>2026-10-09 06:41 PM CT</t>
        </is>
      </c>
    </row>
    <row r="3">
      <c r="A3" s="16" t="inlineStr">
        <is>
          <t>Coverage</t>
        </is>
      </c>
      <c r="B3" s="16" t="inlineStr">
        <is>
          <t>All posts by @BookitWithTrent (Trent Attyah) and @stevewilldoit (Steve Will Do It) on X from Aug 1, 2026 00:00 CT through the last update, retweets excluded. Football and non-football bets are both included.</t>
        </is>
      </c>
    </row>
    <row r="4">
      <c r="A4" s="16" t="inlineStr"/>
      <c r="B4" s="16" t="inlineStr"/>
    </row>
    <row r="5">
      <c r="A5" s="17" t="inlineStr">
        <is>
          <t>COLUMN DEFINITIONS</t>
        </is>
      </c>
      <c r="B5" s="16" t="inlineStr"/>
    </row>
    <row r="6">
      <c r="A6" s="16" t="inlineStr">
        <is>
          <t>Bet ID</t>
        </is>
      </c>
      <c r="B6" s="16" t="inlineStr">
        <is>
          <t>T-/S- prefix + last 6 digits of the X post ID; a letter suffix (a,b,c…) marks multiple bets in one post.</t>
        </is>
      </c>
    </row>
    <row r="7">
      <c r="A7" s="16" t="inlineStr">
        <is>
          <t>Date posted (CT)</t>
        </is>
      </c>
      <c r="B7" s="16" t="inlineStr">
        <is>
          <t>Post timestamp converted to America/Chicago (CDT, UTC-5).</t>
        </is>
      </c>
    </row>
    <row r="8">
      <c r="A8" s="16" t="inlineStr">
        <is>
          <t>Game date / day</t>
        </is>
      </c>
      <c r="B8" s="16" t="inlineStr">
        <is>
          <t>Date of the game(s) the bet settles on (for parlays, the latest leg). Taken from the matched schedule; if no game could be matched it is set to the post date and the Notes say so.</t>
        </is>
      </c>
    </row>
    <row r="9">
      <c r="A9" s="16" t="inlineStr">
        <is>
          <t>Game kickoff time (ET)</t>
        </is>
      </c>
      <c r="B9" s="16" t="inlineStr">
        <is>
          <t>Kickoff/first pitch from the ESPN (NFL/CFB) or MLB Stats API schedule; for parlays, the latest-starting matched leg. "not matched" = no schedule match (props, other sports).</t>
        </is>
      </c>
    </row>
    <row r="10">
      <c r="A10" s="16" t="inlineStr">
        <is>
          <t>Odds (American)</t>
        </is>
      </c>
      <c r="B10" s="16" t="inlineStr">
        <is>
          <t>As shown on the slip/post. "not shown" = not visible. Decimal odds are converted from American; if no odds were shown but stake and payout were, decimal = payout ÷ stake (noted).</t>
        </is>
      </c>
    </row>
    <row r="11">
      <c r="A11" s="16" t="inlineStr">
        <is>
          <t>Stake $ / Units</t>
        </is>
      </c>
      <c r="B11" s="16" t="inlineStr">
        <is>
          <t>Dollar stake only when shown on a slip or stated. Units-only bets (mostly Trent) leave Stake $ blank and record units.</t>
        </is>
      </c>
    </row>
    <row r="12">
      <c r="A12" s="16" t="inlineStr">
        <is>
          <t>To win/payout $</t>
        </is>
      </c>
      <c r="B12" s="16" t="inlineStr">
        <is>
          <t>Total return as shown (Gamdom "Payout", PrizePicks "to win", sportsbook ticket payout) — includes the stake.</t>
        </is>
      </c>
    </row>
    <row r="13">
      <c r="A13" s="16" t="inlineStr">
        <is>
          <t>Profit/Loss $</t>
        </is>
      </c>
      <c r="B13" s="16" t="inlineStr">
        <is>
          <t>Formula: W → payout − stake (or stake × (decimal − 1) if payout not shown); L → −stake; Push → 0; Pending/Unknown → blank. Blank when no $ stake.</t>
        </is>
      </c>
    </row>
    <row r="14">
      <c r="A14" s="16" t="inlineStr">
        <is>
          <t>Profit/Loss units</t>
        </is>
      </c>
      <c r="B14" s="16" t="inlineStr">
        <is>
          <t>Same logic in units; wins only computed when odds are known (Trent rarely posts odds, so many unit wins show blank).</t>
        </is>
      </c>
    </row>
    <row r="15">
      <c r="A15" s="16" t="inlineStr">
        <is>
          <t>Result</t>
        </is>
      </c>
      <c r="B15" s="16" t="inlineStr">
        <is>
          <t>W / L / Push / Pending / Unknown. Voided bets are recorded as Push (stake returned).</t>
        </is>
      </c>
    </row>
    <row r="16">
      <c r="A16" s="16" t="inlineStr">
        <is>
          <t>Result source</t>
        </is>
      </c>
      <c r="B16" s="16" t="inlineStr">
        <is>
          <t>"posted" = bettor posted the result (takes priority); "graded from final" = graded by me from official final scores/box scores (ESPN, MLB Stats API); "pending" = not yet played; "unverified" = could not verify.</t>
        </is>
      </c>
    </row>
    <row r="17">
      <c r="A17" s="16" t="inlineStr">
        <is>
          <t>Sponsored/promo flag</t>
        </is>
      </c>
      <c r="B17" s="16" t="inlineStr">
        <is>
          <t>Y when the post tags Gamdom, PrizePicks or Pikkit, or uses giveaway/promo language ("comment your username", "like and share", "presented by", codes). Steve is a Gamdom affiliate and tags most slips.</t>
        </is>
      </c>
    </row>
    <row r="18">
      <c r="A18" s="17" t="inlineStr">
        <is>
          <t>ROI</t>
        </is>
      </c>
      <c r="B18" s="16" t="inlineStr">
        <is>
          <t>Net P/L ÷ stake on settled bets (W/L/Push with a known $ stake). Units ROI is the same on units.</t>
        </is>
      </c>
    </row>
    <row r="19">
      <c r="A19" s="16" t="inlineStr"/>
      <c r="B19" s="16" t="inlineStr"/>
    </row>
    <row r="20">
      <c r="A20" s="16" t="inlineStr">
        <is>
          <t>PRIME-TIME RULE (exact)</t>
        </is>
      </c>
      <c r="B20" s="16" t="inlineStr"/>
    </row>
    <row r="21">
      <c r="A21" s="17" t="inlineStr">
        <is>
          <t>NFL</t>
        </is>
      </c>
      <c r="B21" s="16" t="inlineStr">
        <is>
          <t>TNF = any Thursday NFL game; MNF = any Monday NFL game; SNF = Sunday NFL game kicking off at or after 7:00 PM ET; "NFL primetime (other day)" = any other NFL game at or after 7:00 PM ET (e.g., Wed Sep 9 opener, Saturday games). Sunday early/late afternoon and international morning games = not prime.</t>
        </is>
      </c>
    </row>
    <row r="22">
      <c r="A22" s="17" t="inlineStr">
        <is>
          <t>CFB</t>
        </is>
      </c>
      <c r="B22" s="16" t="inlineStr">
        <is>
          <t>Kickoff at or after 7:00 PM ET: Saturday → "CFB Saturday night"; Tue–Fri → "CFB weeknight". Earlier kickoffs = not prime.</t>
        </is>
      </c>
    </row>
    <row r="23">
      <c r="A23" s="16" t="inlineStr">
        <is>
          <t>Other sports</t>
        </is>
      </c>
      <c r="B23" s="16" t="inlineStr">
        <is>
          <t>MLB, UFC, NHL, soccer, etc. are not classified as prime time (N).</t>
        </is>
      </c>
    </row>
    <row r="24">
      <c r="A24" s="16" t="inlineStr">
        <is>
          <t>Parlays</t>
        </is>
      </c>
      <c r="B24" s="16" t="inlineStr">
        <is>
          <t>Prime = Y only if every matched leg is in a prime slot; "Multi-slot parlay" when legs span different prime slots. Unmatched NFL kickoffs fall back to TNF/SNF/MNF wording in the post; otherwise "Unknown".</t>
        </is>
      </c>
    </row>
    <row r="25">
      <c r="A25" s="16" t="inlineStr">
        <is>
          <t>Season starts</t>
        </is>
      </c>
      <c r="B25" s="16" t="inlineStr">
        <is>
          <t>CFB Week 0 began Thu Aug 27, 2026 (first FBS game Sat Aug 29). NFL Week 1 began Wed Sep 9, 2026. "Since" sections filter on game date.</t>
        </is>
      </c>
    </row>
    <row r="26">
      <c r="A26" s="16" t="inlineStr"/>
      <c r="B26" s="16" t="inlineStr"/>
    </row>
    <row r="27">
      <c r="A27" s="17" t="inlineStr">
        <is>
          <t>DATA CAVEATS</t>
        </is>
      </c>
      <c r="B27" s="16" t="inlineStr"/>
    </row>
    <row r="28">
      <c r="A28" s="16" t="inlineStr">
        <is>
          <t>Slips</t>
        </is>
      </c>
      <c r="B28" s="16" t="inlineStr">
        <is>
          <t>Bets extracted by reading slip screenshots and post text. Nothing invented: missing odds/stakes/legs are blank or "not shown". Some slips were cropped or blurred (noted).</t>
        </is>
      </c>
    </row>
    <row r="29">
      <c r="A29" s="16" t="inlineStr">
        <is>
          <t>Steve attribution</t>
        </is>
      </c>
      <c r="B29" s="16" t="inlineStr">
        <is>
          <t>Steve often posts slips he placed for friends ("AI guy Brandon", 6ix9ine, Mexican Steve, Razz) on his own Gamdom account; they are counted as his bets when placed by SteveWillDoIt. Text-only plans he did not actually place, and unplaced betslips, are excluded.</t>
        </is>
      </c>
    </row>
    <row r="30">
      <c r="A30" s="16" t="inlineStr">
        <is>
          <t>Trent units</t>
        </is>
      </c>
      <c r="B30" s="16" t="inlineStr">
        <is>
          <t>Trent mostly posts plays in units with no odds; $ P/L for him is limited to slips with a $ stake (PrizePicks etc.).</t>
        </is>
      </c>
    </row>
    <row r="31">
      <c r="A31" s="16" t="inlineStr">
        <is>
          <t>Conflicts</t>
        </is>
      </c>
      <c r="B31" s="16" t="inlineStr">
        <is>
          <t>Where a posted result conflicts with the official final, the posted result is kept and the conflict is noted.</t>
        </is>
      </c>
    </row>
    <row r="32">
      <c r="A32" s="16" t="inlineStr">
        <is>
          <t>Pending</t>
        </is>
      </c>
      <c r="B32" s="16" t="inlineStr">
        <is>
          <t>Friday Oct 9 CFB games and season-long futures were not final at the last update.</t>
        </is>
      </c>
    </row>
    <row r="33">
      <c r="A33" s="16" t="inlineStr">
        <is>
          <t>Excluded</t>
        </is>
      </c>
      <c r="B33" s="16" t="inlineStr">
        <is>
          <t>Giveaways, contests, casino/slots/blackjack sessions, and bets by other people that the two accounts only reposted.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2026-10-09T23:41:34Z</dcterms:created>
  <dcterms:modified xmlns:dcterms="http://purl.org/dc/terms/" xmlns:xsi="http://www.w3.org/2001/XMLSchema-instance" xsi:type="dcterms:W3CDTF">2026-10-09T23:41:34Z</dcterms:modified>
</cp:coreProperties>
</file>